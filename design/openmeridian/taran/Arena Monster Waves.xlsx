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ridian\"/>
    </mc:Choice>
  </mc:AlternateContent>
  <xr:revisionPtr revIDLastSave="0" documentId="10_ncr:100000_{8C111487-4DE3-4D6C-B712-BE8ED9B798C8}" xr6:coauthVersionLast="31" xr6:coauthVersionMax="31" xr10:uidLastSave="{00000000-0000-0000-0000-000000000000}"/>
  <bookViews>
    <workbookView xWindow="0" yWindow="0" windowWidth="28800" windowHeight="12225" xr2:uid="{F9570347-9AAF-427D-96BD-5995F45D6CEF}"/>
  </bookViews>
  <sheets>
    <sheet name="Sheet2" sheetId="2" r:id="rId1"/>
    <sheet name="Sheet1" sheetId="1" r:id="rId2"/>
  </sheets>
  <definedNames>
    <definedName name="ExternalData_1" localSheetId="0" hidden="1">Sheet2!$A$1:$C$151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2" i="2" l="1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B31" i="2"/>
  <c r="C31" i="2" s="1"/>
  <c r="B30" i="2"/>
  <c r="C30" i="2" s="1"/>
  <c r="B29" i="2"/>
  <c r="C29" i="2" s="1"/>
  <c r="C3" i="2"/>
  <c r="B4" i="2"/>
  <c r="C4" i="2" s="1"/>
  <c r="B5" i="2"/>
  <c r="C5" i="2" s="1"/>
  <c r="B6" i="2"/>
  <c r="C6" i="2" s="1"/>
  <c r="B7" i="2"/>
  <c r="C7" i="2" s="1"/>
  <c r="B8" i="2"/>
  <c r="C8" i="2" s="1"/>
  <c r="B9" i="2"/>
  <c r="C9" i="2" s="1"/>
  <c r="B10" i="2"/>
  <c r="C10" i="2" s="1"/>
  <c r="B11" i="2"/>
  <c r="C11" i="2" s="1"/>
  <c r="B12" i="2"/>
  <c r="C12" i="2" s="1"/>
  <c r="B13" i="2"/>
  <c r="C13" i="2" s="1"/>
  <c r="B14" i="2"/>
  <c r="C14" i="2" s="1"/>
  <c r="B15" i="2"/>
  <c r="C15" i="2" s="1"/>
  <c r="B16" i="2"/>
  <c r="C16" i="2" s="1"/>
  <c r="B17" i="2"/>
  <c r="C17" i="2" s="1"/>
  <c r="B18" i="2"/>
  <c r="C18" i="2" s="1"/>
  <c r="B19" i="2"/>
  <c r="C19" i="2" s="1"/>
  <c r="B20" i="2"/>
  <c r="C20" i="2" s="1"/>
  <c r="B21" i="2"/>
  <c r="C21" i="2" s="1"/>
  <c r="B22" i="2"/>
  <c r="C22" i="2" s="1"/>
  <c r="B23" i="2"/>
  <c r="C23" i="2" s="1"/>
  <c r="B24" i="2"/>
  <c r="C24" i="2" s="1"/>
  <c r="B25" i="2"/>
  <c r="C25" i="2" s="1"/>
  <c r="B26" i="2"/>
  <c r="C26" i="2" s="1"/>
  <c r="B27" i="2"/>
  <c r="C27" i="2" s="1"/>
  <c r="B28" i="2"/>
  <c r="C28" i="2" s="1"/>
  <c r="C2" i="2"/>
  <c r="C24" i="1"/>
  <c r="C25" i="1"/>
  <c r="C26" i="1"/>
  <c r="C27" i="1"/>
  <c r="C28" i="1"/>
  <c r="C29" i="1"/>
  <c r="C30" i="1"/>
  <c r="C23" i="1"/>
  <c r="B28" i="1"/>
  <c r="B29" i="1"/>
  <c r="B30" i="1"/>
  <c r="B23" i="1"/>
  <c r="B24" i="1"/>
  <c r="B25" i="1"/>
  <c r="B26" i="1"/>
  <c r="B2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F40C5B-F3E9-404F-925E-5C75A2CDC3F0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<sst xmlns="http://schemas.openxmlformats.org/spreadsheetml/2006/main" count="7" uniqueCount="4">
  <si>
    <t>piWaveLevel</t>
  </si>
  <si>
    <t>iMin</t>
  </si>
  <si>
    <t>iMax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</si>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</sst>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5">
    <dxf>
      <numFmt numFmtId="0" formatCode="General"/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Monster Waves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Sheet2!$B$2:$B$111</c:f>
              <c:numCache>
                <c:formatCode>General</c:formatCode>
                <c:ptCount val="110"/>
                <c:pt idx="0">
                  <c:v>25</c:v>
                </c:pt>
                <c:pt idx="1">
                  <c:v>25</c:v>
                </c:pt>
                <c:pt idx="2">
                  <c:v>27</c:v>
                </c:pt>
                <c:pt idx="3">
                  <c:v>31</c:v>
                </c:pt>
                <c:pt idx="4">
                  <c:v>35</c:v>
                </c:pt>
                <c:pt idx="5">
                  <c:v>39</c:v>
                </c:pt>
                <c:pt idx="6">
                  <c:v>43</c:v>
                </c:pt>
                <c:pt idx="7">
                  <c:v>47</c:v>
                </c:pt>
                <c:pt idx="8">
                  <c:v>51</c:v>
                </c:pt>
                <c:pt idx="9">
                  <c:v>55</c:v>
                </c:pt>
                <c:pt idx="10">
                  <c:v>59</c:v>
                </c:pt>
                <c:pt idx="11">
                  <c:v>63</c:v>
                </c:pt>
                <c:pt idx="12">
                  <c:v>67</c:v>
                </c:pt>
                <c:pt idx="13">
                  <c:v>71</c:v>
                </c:pt>
                <c:pt idx="14">
                  <c:v>75</c:v>
                </c:pt>
                <c:pt idx="15">
                  <c:v>79</c:v>
                </c:pt>
                <c:pt idx="16">
                  <c:v>83</c:v>
                </c:pt>
                <c:pt idx="17">
                  <c:v>87</c:v>
                </c:pt>
                <c:pt idx="18">
                  <c:v>91</c:v>
                </c:pt>
                <c:pt idx="19">
                  <c:v>95</c:v>
                </c:pt>
                <c:pt idx="20">
                  <c:v>99</c:v>
                </c:pt>
                <c:pt idx="21">
                  <c:v>103</c:v>
                </c:pt>
                <c:pt idx="22">
                  <c:v>107</c:v>
                </c:pt>
                <c:pt idx="23">
                  <c:v>111</c:v>
                </c:pt>
                <c:pt idx="24">
                  <c:v>115</c:v>
                </c:pt>
                <c:pt idx="25">
                  <c:v>119</c:v>
                </c:pt>
                <c:pt idx="26">
                  <c:v>123</c:v>
                </c:pt>
                <c:pt idx="27">
                  <c:v>127</c:v>
                </c:pt>
                <c:pt idx="28">
                  <c:v>131</c:v>
                </c:pt>
                <c:pt idx="29">
                  <c:v>135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41-4236-AB38-8B35552C2808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Sheet2!$C$2:$C$111</c:f>
              <c:numCache>
                <c:formatCode>General</c:formatCode>
                <c:ptCount val="110"/>
                <c:pt idx="0">
                  <c:v>35.25</c:v>
                </c:pt>
                <c:pt idx="1">
                  <c:v>35.5</c:v>
                </c:pt>
                <c:pt idx="2">
                  <c:v>37.75</c:v>
                </c:pt>
                <c:pt idx="3">
                  <c:v>42</c:v>
                </c:pt>
                <c:pt idx="4">
                  <c:v>46.25</c:v>
                </c:pt>
                <c:pt idx="5">
                  <c:v>50.5</c:v>
                </c:pt>
                <c:pt idx="6">
                  <c:v>54.75</c:v>
                </c:pt>
                <c:pt idx="7">
                  <c:v>59</c:v>
                </c:pt>
                <c:pt idx="8">
                  <c:v>63.25</c:v>
                </c:pt>
                <c:pt idx="9">
                  <c:v>67.5</c:v>
                </c:pt>
                <c:pt idx="10">
                  <c:v>71.75</c:v>
                </c:pt>
                <c:pt idx="11">
                  <c:v>76</c:v>
                </c:pt>
                <c:pt idx="12">
                  <c:v>80.25</c:v>
                </c:pt>
                <c:pt idx="13">
                  <c:v>84.5</c:v>
                </c:pt>
                <c:pt idx="14">
                  <c:v>88.75</c:v>
                </c:pt>
                <c:pt idx="15">
                  <c:v>93</c:v>
                </c:pt>
                <c:pt idx="16">
                  <c:v>97.25</c:v>
                </c:pt>
                <c:pt idx="17">
                  <c:v>101.5</c:v>
                </c:pt>
                <c:pt idx="18">
                  <c:v>105.75</c:v>
                </c:pt>
                <c:pt idx="19">
                  <c:v>110</c:v>
                </c:pt>
                <c:pt idx="20">
                  <c:v>114.25</c:v>
                </c:pt>
                <c:pt idx="21">
                  <c:v>115.75</c:v>
                </c:pt>
                <c:pt idx="22">
                  <c:v>119.875</c:v>
                </c:pt>
                <c:pt idx="23">
                  <c:v>124</c:v>
                </c:pt>
                <c:pt idx="24">
                  <c:v>128.125</c:v>
                </c:pt>
                <c:pt idx="25">
                  <c:v>132.25</c:v>
                </c:pt>
                <c:pt idx="26">
                  <c:v>136.375</c:v>
                </c:pt>
                <c:pt idx="27">
                  <c:v>140.5</c:v>
                </c:pt>
                <c:pt idx="28">
                  <c:v>144.625</c:v>
                </c:pt>
                <c:pt idx="29">
                  <c:v>148.75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200</c:v>
                </c:pt>
                <c:pt idx="98">
                  <c:v>200</c:v>
                </c:pt>
                <c:pt idx="99">
                  <c:v>200</c:v>
                </c:pt>
                <c:pt idx="100">
                  <c:v>200</c:v>
                </c:pt>
                <c:pt idx="101">
                  <c:v>200</c:v>
                </c:pt>
                <c:pt idx="102">
                  <c:v>200</c:v>
                </c:pt>
                <c:pt idx="103">
                  <c:v>200</c:v>
                </c:pt>
                <c:pt idx="104">
                  <c:v>200</c:v>
                </c:pt>
                <c:pt idx="105">
                  <c:v>200</c:v>
                </c:pt>
                <c:pt idx="106">
                  <c:v>200</c:v>
                </c:pt>
                <c:pt idx="107">
                  <c:v>200</c:v>
                </c:pt>
                <c:pt idx="108">
                  <c:v>200</c:v>
                </c:pt>
                <c:pt idx="109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41-4236-AB38-8B35552C2808}"/>
            </c:ext>
          </c:extLst>
        </c:ser>
        <c:ser>
          <c:idx val="2"/>
          <c:order val="2"/>
          <c:tx>
            <c:v>Monster Spawn Total</c:v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Sheet2!$D$2:$D$151</c:f>
              <c:numCache>
                <c:formatCode>General</c:formatCode>
                <c:ptCount val="150"/>
                <c:pt idx="30">
                  <c:v>6.2</c:v>
                </c:pt>
                <c:pt idx="31">
                  <c:v>6.4</c:v>
                </c:pt>
                <c:pt idx="32">
                  <c:v>6.6</c:v>
                </c:pt>
                <c:pt idx="33">
                  <c:v>6.8</c:v>
                </c:pt>
                <c:pt idx="34">
                  <c:v>7</c:v>
                </c:pt>
                <c:pt idx="35">
                  <c:v>7.2</c:v>
                </c:pt>
                <c:pt idx="36">
                  <c:v>7.4</c:v>
                </c:pt>
                <c:pt idx="37">
                  <c:v>7.6</c:v>
                </c:pt>
                <c:pt idx="38">
                  <c:v>7.8</c:v>
                </c:pt>
                <c:pt idx="39">
                  <c:v>8</c:v>
                </c:pt>
                <c:pt idx="40">
                  <c:v>8.1999999999999993</c:v>
                </c:pt>
                <c:pt idx="41">
                  <c:v>8.4</c:v>
                </c:pt>
                <c:pt idx="42">
                  <c:v>8.6</c:v>
                </c:pt>
                <c:pt idx="43">
                  <c:v>8.8000000000000007</c:v>
                </c:pt>
                <c:pt idx="44">
                  <c:v>9</c:v>
                </c:pt>
                <c:pt idx="45">
                  <c:v>9.1999999999999993</c:v>
                </c:pt>
                <c:pt idx="46">
                  <c:v>9.4</c:v>
                </c:pt>
                <c:pt idx="47">
                  <c:v>9.6</c:v>
                </c:pt>
                <c:pt idx="48">
                  <c:v>9.8000000000000007</c:v>
                </c:pt>
                <c:pt idx="49">
                  <c:v>10</c:v>
                </c:pt>
                <c:pt idx="50">
                  <c:v>10.199999999999999</c:v>
                </c:pt>
                <c:pt idx="51">
                  <c:v>10.4</c:v>
                </c:pt>
                <c:pt idx="52">
                  <c:v>10.6</c:v>
                </c:pt>
                <c:pt idx="53">
                  <c:v>10.8</c:v>
                </c:pt>
                <c:pt idx="54">
                  <c:v>11</c:v>
                </c:pt>
                <c:pt idx="55">
                  <c:v>11.2</c:v>
                </c:pt>
                <c:pt idx="56">
                  <c:v>11.4</c:v>
                </c:pt>
                <c:pt idx="57">
                  <c:v>11.6</c:v>
                </c:pt>
                <c:pt idx="58">
                  <c:v>11.8</c:v>
                </c:pt>
                <c:pt idx="59">
                  <c:v>12</c:v>
                </c:pt>
                <c:pt idx="60">
                  <c:v>12.2</c:v>
                </c:pt>
                <c:pt idx="61">
                  <c:v>12.4</c:v>
                </c:pt>
                <c:pt idx="62">
                  <c:v>12.6</c:v>
                </c:pt>
                <c:pt idx="63">
                  <c:v>12.8</c:v>
                </c:pt>
                <c:pt idx="64">
                  <c:v>13</c:v>
                </c:pt>
                <c:pt idx="65">
                  <c:v>13.2</c:v>
                </c:pt>
                <c:pt idx="66">
                  <c:v>13.4</c:v>
                </c:pt>
                <c:pt idx="67">
                  <c:v>13.6</c:v>
                </c:pt>
                <c:pt idx="68">
                  <c:v>13.8</c:v>
                </c:pt>
                <c:pt idx="69">
                  <c:v>14</c:v>
                </c:pt>
                <c:pt idx="70">
                  <c:v>14.2</c:v>
                </c:pt>
                <c:pt idx="71">
                  <c:v>14.4</c:v>
                </c:pt>
                <c:pt idx="72">
                  <c:v>14.6</c:v>
                </c:pt>
                <c:pt idx="73">
                  <c:v>14.8</c:v>
                </c:pt>
                <c:pt idx="74">
                  <c:v>15</c:v>
                </c:pt>
                <c:pt idx="75">
                  <c:v>15.2</c:v>
                </c:pt>
                <c:pt idx="76">
                  <c:v>15.4</c:v>
                </c:pt>
                <c:pt idx="77">
                  <c:v>15.6</c:v>
                </c:pt>
                <c:pt idx="78">
                  <c:v>15.8</c:v>
                </c:pt>
                <c:pt idx="79">
                  <c:v>16</c:v>
                </c:pt>
                <c:pt idx="80">
                  <c:v>16.2</c:v>
                </c:pt>
                <c:pt idx="81">
                  <c:v>16.399999999999999</c:v>
                </c:pt>
                <c:pt idx="82">
                  <c:v>16.600000000000001</c:v>
                </c:pt>
                <c:pt idx="83">
                  <c:v>16.8</c:v>
                </c:pt>
                <c:pt idx="84">
                  <c:v>17</c:v>
                </c:pt>
                <c:pt idx="85">
                  <c:v>17.2</c:v>
                </c:pt>
                <c:pt idx="86">
                  <c:v>17.399999999999999</c:v>
                </c:pt>
                <c:pt idx="87">
                  <c:v>17.600000000000001</c:v>
                </c:pt>
                <c:pt idx="88">
                  <c:v>17.8</c:v>
                </c:pt>
                <c:pt idx="89">
                  <c:v>18</c:v>
                </c:pt>
                <c:pt idx="90">
                  <c:v>18.2</c:v>
                </c:pt>
                <c:pt idx="91">
                  <c:v>18.399999999999999</c:v>
                </c:pt>
                <c:pt idx="92">
                  <c:v>18.600000000000001</c:v>
                </c:pt>
                <c:pt idx="93">
                  <c:v>18.8</c:v>
                </c:pt>
                <c:pt idx="94">
                  <c:v>19</c:v>
                </c:pt>
                <c:pt idx="95">
                  <c:v>19.2</c:v>
                </c:pt>
                <c:pt idx="96">
                  <c:v>19.399999999999999</c:v>
                </c:pt>
                <c:pt idx="97">
                  <c:v>19.600000000000001</c:v>
                </c:pt>
                <c:pt idx="98">
                  <c:v>19.8</c:v>
                </c:pt>
                <c:pt idx="99">
                  <c:v>20</c:v>
                </c:pt>
                <c:pt idx="100">
                  <c:v>20.2</c:v>
                </c:pt>
                <c:pt idx="101">
                  <c:v>20.399999999999999</c:v>
                </c:pt>
                <c:pt idx="102">
                  <c:v>20.6</c:v>
                </c:pt>
                <c:pt idx="103">
                  <c:v>20.8</c:v>
                </c:pt>
                <c:pt idx="104">
                  <c:v>21</c:v>
                </c:pt>
                <c:pt idx="105">
                  <c:v>21.2</c:v>
                </c:pt>
                <c:pt idx="106">
                  <c:v>21.4</c:v>
                </c:pt>
                <c:pt idx="107">
                  <c:v>21.6</c:v>
                </c:pt>
                <c:pt idx="108">
                  <c:v>21.8</c:v>
                </c:pt>
                <c:pt idx="109">
                  <c:v>22</c:v>
                </c:pt>
                <c:pt idx="110">
                  <c:v>22.2</c:v>
                </c:pt>
                <c:pt idx="111">
                  <c:v>22.4</c:v>
                </c:pt>
                <c:pt idx="112">
                  <c:v>22.6</c:v>
                </c:pt>
                <c:pt idx="113">
                  <c:v>22.8</c:v>
                </c:pt>
                <c:pt idx="114">
                  <c:v>23</c:v>
                </c:pt>
                <c:pt idx="115">
                  <c:v>23.2</c:v>
                </c:pt>
                <c:pt idx="116">
                  <c:v>23.4</c:v>
                </c:pt>
                <c:pt idx="117">
                  <c:v>23.6</c:v>
                </c:pt>
                <c:pt idx="118">
                  <c:v>23.8</c:v>
                </c:pt>
                <c:pt idx="119">
                  <c:v>24</c:v>
                </c:pt>
                <c:pt idx="120">
                  <c:v>24.2</c:v>
                </c:pt>
                <c:pt idx="121">
                  <c:v>24.4</c:v>
                </c:pt>
                <c:pt idx="122">
                  <c:v>24.6</c:v>
                </c:pt>
                <c:pt idx="123">
                  <c:v>24.8</c:v>
                </c:pt>
                <c:pt idx="124">
                  <c:v>25</c:v>
                </c:pt>
                <c:pt idx="125">
                  <c:v>25.2</c:v>
                </c:pt>
                <c:pt idx="126">
                  <c:v>25.4</c:v>
                </c:pt>
                <c:pt idx="127">
                  <c:v>25.6</c:v>
                </c:pt>
                <c:pt idx="128">
                  <c:v>25.8</c:v>
                </c:pt>
                <c:pt idx="129">
                  <c:v>26</c:v>
                </c:pt>
                <c:pt idx="130">
                  <c:v>26.2</c:v>
                </c:pt>
                <c:pt idx="131">
                  <c:v>26.4</c:v>
                </c:pt>
                <c:pt idx="132">
                  <c:v>26.6</c:v>
                </c:pt>
                <c:pt idx="133">
                  <c:v>26.8</c:v>
                </c:pt>
                <c:pt idx="134">
                  <c:v>27</c:v>
                </c:pt>
                <c:pt idx="135">
                  <c:v>27.2</c:v>
                </c:pt>
                <c:pt idx="136">
                  <c:v>27.4</c:v>
                </c:pt>
                <c:pt idx="137">
                  <c:v>27.6</c:v>
                </c:pt>
                <c:pt idx="138">
                  <c:v>27.8</c:v>
                </c:pt>
                <c:pt idx="139">
                  <c:v>28</c:v>
                </c:pt>
                <c:pt idx="140">
                  <c:v>28.2</c:v>
                </c:pt>
                <c:pt idx="141">
                  <c:v>28.4</c:v>
                </c:pt>
                <c:pt idx="142">
                  <c:v>28.6</c:v>
                </c:pt>
                <c:pt idx="143">
                  <c:v>28.8</c:v>
                </c:pt>
                <c:pt idx="144">
                  <c:v>29</c:v>
                </c:pt>
                <c:pt idx="145">
                  <c:v>29.2</c:v>
                </c:pt>
                <c:pt idx="146">
                  <c:v>29.4</c:v>
                </c:pt>
                <c:pt idx="147">
                  <c:v>29.6</c:v>
                </c:pt>
                <c:pt idx="148">
                  <c:v>29.8</c:v>
                </c:pt>
                <c:pt idx="14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41-4236-AB38-8B35552C2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0214176"/>
        <c:axId val="1070205976"/>
      </c:lineChart>
      <c:catAx>
        <c:axId val="10702141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205976"/>
        <c:crosses val="autoZero"/>
        <c:auto val="1"/>
        <c:lblAlgn val="ctr"/>
        <c:lblOffset val="100"/>
        <c:tickLblSkip val="10"/>
        <c:noMultiLvlLbl val="0"/>
      </c:catAx>
      <c:valAx>
        <c:axId val="1070205976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21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600074</xdr:colOff>
      <xdr:row>1</xdr:row>
      <xdr:rowOff>4761</xdr:rowOff>
    </xdr:from>
    <xdr:to>
      <xdr:col>11</xdr:col>
      <xdr:colOff>609599</xdr:colOff>
      <xdr:row>16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5AD32E-D208-49CE-8562-4E64145A4E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43F7916-4692-429E-A7AC-A6A17209160A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piWaveLevel" tableColumnId="1"/>
      <queryTableField id="2" name="iMin" tableColumnId="2"/>
      <queryTableField id="3" name="iMax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F1F9D9-03FF-45DF-9BFD-DDAE34F98125}" name="Table1_2" displayName="Table1_2" ref="A1:D151" tableType="queryTable" totalsRowShown="0">
  <autoFilter ref="A1:D151" xr:uid="{DA565820-9816-4B4A-B3C6-9D769E9DD5B1}"/>
  <tableColumns count="4">
    <tableColumn id="1" xr3:uid="{9DAA1B61-050A-459C-9DB9-8A0C40BD6362}" uniqueName="1" name="piWaveLevel" queryTableFieldId="1"/>
    <tableColumn id="2" xr3:uid="{C138D36C-41F7-4CF4-9EE4-D6E82AF8B0EF}" uniqueName="2" name="iMin" queryTableFieldId="2"/>
    <tableColumn id="3" xr3:uid="{A3E159BA-D0FB-4819-8D20-E203E718518B}" uniqueName="3" name="iMax" queryTableFieldId="3"/>
    <tableColumn id="4" xr3:uid="{A4EC12EA-7223-4CF2-ADE5-971A957BA638}" uniqueName="4" name="Total" queryTableFieldId="4" dataDxfId="0">
      <calculatedColumnFormula>Table1_2[[#This Row],[piWaveLevel]]/5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F3B453-8446-4956-AB15-1CCF7ACB4EA9}" name="Table1" displayName="Table1" ref="A1:C101" totalsRowShown="0" dataDxfId="1">
  <autoFilter ref="A1:C101" xr:uid="{E79DD0DA-9D63-4505-85EA-DA6A07400978}"/>
  <tableColumns count="3">
    <tableColumn id="1" xr3:uid="{A1F8CFF2-C360-4485-BD95-2F8C2F2FEA3D}" name="piWaveLevel" dataDxfId="4"/>
    <tableColumn id="2" xr3:uid="{47DB25DD-41C1-42A5-9AED-9BEDCA8A25AD}" name="iMin" dataDxfId="3"/>
    <tableColumn id="3" xr3:uid="{512352D7-EB39-41A9-AF19-6A65EB185628}" name="iMax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49305-8ACD-4CB1-A9E1-6F9E3EBAFFF0}">
  <dimension ref="A1:D151"/>
  <sheetViews>
    <sheetView tabSelected="1" workbookViewId="0">
      <selection activeCell="P26" sqref="P26"/>
    </sheetView>
  </sheetViews>
  <sheetFormatPr defaultRowHeight="15" x14ac:dyDescent="0.25"/>
  <cols>
    <col min="1" max="1" width="14.85546875" bestFit="1" customWidth="1"/>
    <col min="2" max="2" width="7.42578125" bestFit="1" customWidth="1"/>
    <col min="3" max="3" width="7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25</v>
      </c>
      <c r="C2">
        <f>(Table1_2[[#This Row],[iMin]]+10)+(Table1_2[[#This Row],[piWaveLevel]]/4)</f>
        <v>35.25</v>
      </c>
    </row>
    <row r="3" spans="1:4" x14ac:dyDescent="0.25">
      <c r="A3">
        <v>2</v>
      </c>
      <c r="B3">
        <v>25</v>
      </c>
      <c r="C3">
        <f>(Table1_2[[#This Row],[iMin]]+10)+(Table1_2[[#This Row],[piWaveLevel]]/4)</f>
        <v>35.5</v>
      </c>
    </row>
    <row r="4" spans="1:4" x14ac:dyDescent="0.25">
      <c r="A4">
        <v>3</v>
      </c>
      <c r="B4">
        <f>15+(Table1_2[[#This Row],[piWaveLevel]]*4)</f>
        <v>27</v>
      </c>
      <c r="C4">
        <f>(Table1_2[[#This Row],[iMin]]+10)+(Table1_2[[#This Row],[piWaveLevel]]/4)</f>
        <v>37.75</v>
      </c>
    </row>
    <row r="5" spans="1:4" x14ac:dyDescent="0.25">
      <c r="A5">
        <v>4</v>
      </c>
      <c r="B5">
        <f>15+(Table1_2[[#This Row],[piWaveLevel]]*4)</f>
        <v>31</v>
      </c>
      <c r="C5">
        <f>(Table1_2[[#This Row],[iMin]]+10)+(Table1_2[[#This Row],[piWaveLevel]]/4)</f>
        <v>42</v>
      </c>
    </row>
    <row r="6" spans="1:4" x14ac:dyDescent="0.25">
      <c r="A6">
        <v>5</v>
      </c>
      <c r="B6">
        <f>15+(Table1_2[[#This Row],[piWaveLevel]]*4)</f>
        <v>35</v>
      </c>
      <c r="C6">
        <f>(Table1_2[[#This Row],[iMin]]+10)+(Table1_2[[#This Row],[piWaveLevel]]/4)</f>
        <v>46.25</v>
      </c>
    </row>
    <row r="7" spans="1:4" x14ac:dyDescent="0.25">
      <c r="A7">
        <v>6</v>
      </c>
      <c r="B7">
        <f>15+(Table1_2[[#This Row],[piWaveLevel]]*4)</f>
        <v>39</v>
      </c>
      <c r="C7">
        <f>(Table1_2[[#This Row],[iMin]]+10)+(Table1_2[[#This Row],[piWaveLevel]]/4)</f>
        <v>50.5</v>
      </c>
    </row>
    <row r="8" spans="1:4" x14ac:dyDescent="0.25">
      <c r="A8">
        <v>7</v>
      </c>
      <c r="B8">
        <f>15+(Table1_2[[#This Row],[piWaveLevel]]*4)</f>
        <v>43</v>
      </c>
      <c r="C8">
        <f>(Table1_2[[#This Row],[iMin]]+10)+(Table1_2[[#This Row],[piWaveLevel]]/4)</f>
        <v>54.75</v>
      </c>
    </row>
    <row r="9" spans="1:4" x14ac:dyDescent="0.25">
      <c r="A9">
        <v>8</v>
      </c>
      <c r="B9">
        <f>15+(Table1_2[[#This Row],[piWaveLevel]]*4)</f>
        <v>47</v>
      </c>
      <c r="C9">
        <f>(Table1_2[[#This Row],[iMin]]+10)+(Table1_2[[#This Row],[piWaveLevel]]/4)</f>
        <v>59</v>
      </c>
    </row>
    <row r="10" spans="1:4" x14ac:dyDescent="0.25">
      <c r="A10">
        <v>9</v>
      </c>
      <c r="B10">
        <f>15+(Table1_2[[#This Row],[piWaveLevel]]*4)</f>
        <v>51</v>
      </c>
      <c r="C10">
        <f>(Table1_2[[#This Row],[iMin]]+10)+(Table1_2[[#This Row],[piWaveLevel]]/4)</f>
        <v>63.25</v>
      </c>
    </row>
    <row r="11" spans="1:4" x14ac:dyDescent="0.25">
      <c r="A11">
        <v>10</v>
      </c>
      <c r="B11">
        <f>15+(Table1_2[[#This Row],[piWaveLevel]]*4)</f>
        <v>55</v>
      </c>
      <c r="C11">
        <f>(Table1_2[[#This Row],[iMin]]+10)+(Table1_2[[#This Row],[piWaveLevel]]/4)</f>
        <v>67.5</v>
      </c>
    </row>
    <row r="12" spans="1:4" x14ac:dyDescent="0.25">
      <c r="A12">
        <v>11</v>
      </c>
      <c r="B12">
        <f>15+(Table1_2[[#This Row],[piWaveLevel]]*4)</f>
        <v>59</v>
      </c>
      <c r="C12">
        <f>(Table1_2[[#This Row],[iMin]]+10)+(Table1_2[[#This Row],[piWaveLevel]]/4)</f>
        <v>71.75</v>
      </c>
    </row>
    <row r="13" spans="1:4" x14ac:dyDescent="0.25">
      <c r="A13">
        <v>12</v>
      </c>
      <c r="B13">
        <f>15+(Table1_2[[#This Row],[piWaveLevel]]*4)</f>
        <v>63</v>
      </c>
      <c r="C13">
        <f>(Table1_2[[#This Row],[iMin]]+10)+(Table1_2[[#This Row],[piWaveLevel]]/4)</f>
        <v>76</v>
      </c>
    </row>
    <row r="14" spans="1:4" x14ac:dyDescent="0.25">
      <c r="A14">
        <v>13</v>
      </c>
      <c r="B14">
        <f>15+(Table1_2[[#This Row],[piWaveLevel]]*4)</f>
        <v>67</v>
      </c>
      <c r="C14">
        <f>(Table1_2[[#This Row],[iMin]]+10)+(Table1_2[[#This Row],[piWaveLevel]]/4)</f>
        <v>80.25</v>
      </c>
    </row>
    <row r="15" spans="1:4" x14ac:dyDescent="0.25">
      <c r="A15">
        <v>14</v>
      </c>
      <c r="B15">
        <f>15+(Table1_2[[#This Row],[piWaveLevel]]*4)</f>
        <v>71</v>
      </c>
      <c r="C15">
        <f>(Table1_2[[#This Row],[iMin]]+10)+(Table1_2[[#This Row],[piWaveLevel]]/4)</f>
        <v>84.5</v>
      </c>
    </row>
    <row r="16" spans="1:4" x14ac:dyDescent="0.25">
      <c r="A16">
        <v>15</v>
      </c>
      <c r="B16">
        <f>15+(Table1_2[[#This Row],[piWaveLevel]]*4)</f>
        <v>75</v>
      </c>
      <c r="C16">
        <f>(Table1_2[[#This Row],[iMin]]+10)+(Table1_2[[#This Row],[piWaveLevel]]/4)</f>
        <v>88.75</v>
      </c>
    </row>
    <row r="17" spans="1:4" x14ac:dyDescent="0.25">
      <c r="A17">
        <v>16</v>
      </c>
      <c r="B17">
        <f>15+(Table1_2[[#This Row],[piWaveLevel]]*4)</f>
        <v>79</v>
      </c>
      <c r="C17">
        <f>(Table1_2[[#This Row],[iMin]]+10)+(Table1_2[[#This Row],[piWaveLevel]]/4)</f>
        <v>93</v>
      </c>
    </row>
    <row r="18" spans="1:4" x14ac:dyDescent="0.25">
      <c r="A18">
        <v>17</v>
      </c>
      <c r="B18">
        <f>15+(Table1_2[[#This Row],[piWaveLevel]]*4)</f>
        <v>83</v>
      </c>
      <c r="C18">
        <f>(Table1_2[[#This Row],[iMin]]+10)+(Table1_2[[#This Row],[piWaveLevel]]/4)</f>
        <v>97.25</v>
      </c>
    </row>
    <row r="19" spans="1:4" x14ac:dyDescent="0.25">
      <c r="A19">
        <v>18</v>
      </c>
      <c r="B19">
        <f>15+(Table1_2[[#This Row],[piWaveLevel]]*4)</f>
        <v>87</v>
      </c>
      <c r="C19">
        <f>(Table1_2[[#This Row],[iMin]]+10)+(Table1_2[[#This Row],[piWaveLevel]]/4)</f>
        <v>101.5</v>
      </c>
    </row>
    <row r="20" spans="1:4" x14ac:dyDescent="0.25">
      <c r="A20">
        <v>19</v>
      </c>
      <c r="B20">
        <f>15+(Table1_2[[#This Row],[piWaveLevel]]*4)</f>
        <v>91</v>
      </c>
      <c r="C20">
        <f>(Table1_2[[#This Row],[iMin]]+10)+(Table1_2[[#This Row],[piWaveLevel]]/4)</f>
        <v>105.75</v>
      </c>
    </row>
    <row r="21" spans="1:4" x14ac:dyDescent="0.25">
      <c r="A21">
        <v>20</v>
      </c>
      <c r="B21">
        <f>15+(Table1_2[[#This Row],[piWaveLevel]]*4)</f>
        <v>95</v>
      </c>
      <c r="C21">
        <f>(Table1_2[[#This Row],[iMin]]+10)+(Table1_2[[#This Row],[piWaveLevel]]/4)</f>
        <v>110</v>
      </c>
    </row>
    <row r="22" spans="1:4" x14ac:dyDescent="0.25">
      <c r="A22">
        <v>21</v>
      </c>
      <c r="B22">
        <f>15+(Table1_2[[#This Row],[piWaveLevel]]*4)</f>
        <v>99</v>
      </c>
      <c r="C22">
        <f>(Table1_2[[#This Row],[iMin]]+10)+(Table1_2[[#This Row],[piWaveLevel]]/4)</f>
        <v>114.25</v>
      </c>
    </row>
    <row r="23" spans="1:4" x14ac:dyDescent="0.25">
      <c r="A23">
        <v>22</v>
      </c>
      <c r="B23" s="1">
        <f>15+(Table1_2[[#This Row],[piWaveLevel]]*4)</f>
        <v>103</v>
      </c>
      <c r="C23">
        <f>(Table1_2[[#This Row],[iMin]]+10)+(Table1_2[[#This Row],[piWaveLevel]]/8)</f>
        <v>115.75</v>
      </c>
    </row>
    <row r="24" spans="1:4" x14ac:dyDescent="0.25">
      <c r="A24">
        <v>23</v>
      </c>
      <c r="B24">
        <f>15+(Table1_2[[#This Row],[piWaveLevel]]*4)</f>
        <v>107</v>
      </c>
      <c r="C24">
        <f>(Table1_2[[#This Row],[iMin]]+10)+(Table1_2[[#This Row],[piWaveLevel]]/8)</f>
        <v>119.875</v>
      </c>
    </row>
    <row r="25" spans="1:4" x14ac:dyDescent="0.25">
      <c r="A25">
        <v>24</v>
      </c>
      <c r="B25">
        <f>15+(Table1_2[[#This Row],[piWaveLevel]]*4)</f>
        <v>111</v>
      </c>
      <c r="C25">
        <f>(Table1_2[[#This Row],[iMin]]+10)+(Table1_2[[#This Row],[piWaveLevel]]/8)</f>
        <v>124</v>
      </c>
    </row>
    <row r="26" spans="1:4" x14ac:dyDescent="0.25">
      <c r="A26">
        <v>25</v>
      </c>
      <c r="B26">
        <f>15+(Table1_2[[#This Row],[piWaveLevel]]*4)</f>
        <v>115</v>
      </c>
      <c r="C26">
        <f>(Table1_2[[#This Row],[iMin]]+10)+(Table1_2[[#This Row],[piWaveLevel]]/8)</f>
        <v>128.125</v>
      </c>
    </row>
    <row r="27" spans="1:4" x14ac:dyDescent="0.25">
      <c r="A27">
        <v>26</v>
      </c>
      <c r="B27">
        <f>15+(Table1_2[[#This Row],[piWaveLevel]]*4)</f>
        <v>119</v>
      </c>
      <c r="C27">
        <f>(Table1_2[[#This Row],[iMin]]+10)+(Table1_2[[#This Row],[piWaveLevel]]/8)</f>
        <v>132.25</v>
      </c>
    </row>
    <row r="28" spans="1:4" x14ac:dyDescent="0.25">
      <c r="A28">
        <v>27</v>
      </c>
      <c r="B28">
        <f>15+(Table1_2[[#This Row],[piWaveLevel]]*4)</f>
        <v>123</v>
      </c>
      <c r="C28">
        <f>(Table1_2[[#This Row],[iMin]]+10)+(Table1_2[[#This Row],[piWaveLevel]]/8)</f>
        <v>136.375</v>
      </c>
    </row>
    <row r="29" spans="1:4" x14ac:dyDescent="0.25">
      <c r="A29">
        <v>28</v>
      </c>
      <c r="B29">
        <f>15+(Table1_2[[#This Row],[piWaveLevel]]*4)</f>
        <v>127</v>
      </c>
      <c r="C29">
        <f>(Table1_2[[#This Row],[iMin]]+10)+(Table1_2[[#This Row],[piWaveLevel]]/8)</f>
        <v>140.5</v>
      </c>
    </row>
    <row r="30" spans="1:4" x14ac:dyDescent="0.25">
      <c r="A30">
        <v>29</v>
      </c>
      <c r="B30">
        <f>15+(Table1_2[[#This Row],[piWaveLevel]]*4)</f>
        <v>131</v>
      </c>
      <c r="C30">
        <f>(Table1_2[[#This Row],[iMin]]+10)+(Table1_2[[#This Row],[piWaveLevel]]/8)</f>
        <v>144.625</v>
      </c>
    </row>
    <row r="31" spans="1:4" x14ac:dyDescent="0.25">
      <c r="A31">
        <v>30</v>
      </c>
      <c r="B31">
        <f>15+(Table1_2[[#This Row],[piWaveLevel]]*4)</f>
        <v>135</v>
      </c>
      <c r="C31">
        <f>(Table1_2[[#This Row],[iMin]]+10)+(Table1_2[[#This Row],[piWaveLevel]]/8)</f>
        <v>148.75</v>
      </c>
    </row>
    <row r="32" spans="1:4" x14ac:dyDescent="0.25">
      <c r="A32">
        <v>31</v>
      </c>
      <c r="B32">
        <v>100</v>
      </c>
      <c r="C32" s="1">
        <v>200</v>
      </c>
      <c r="D32">
        <f>Table1_2[[#This Row],[piWaveLevel]]/5</f>
        <v>6.2</v>
      </c>
    </row>
    <row r="33" spans="1:4" x14ac:dyDescent="0.25">
      <c r="A33">
        <v>32</v>
      </c>
      <c r="B33">
        <v>100</v>
      </c>
      <c r="C33">
        <v>200</v>
      </c>
      <c r="D33">
        <f>Table1_2[[#This Row],[piWaveLevel]]/5</f>
        <v>6.4</v>
      </c>
    </row>
    <row r="34" spans="1:4" x14ac:dyDescent="0.25">
      <c r="A34">
        <v>33</v>
      </c>
      <c r="B34">
        <v>100</v>
      </c>
      <c r="C34">
        <v>200</v>
      </c>
      <c r="D34">
        <f>Table1_2[[#This Row],[piWaveLevel]]/5</f>
        <v>6.6</v>
      </c>
    </row>
    <row r="35" spans="1:4" x14ac:dyDescent="0.25">
      <c r="A35">
        <v>34</v>
      </c>
      <c r="B35">
        <v>100</v>
      </c>
      <c r="C35">
        <v>200</v>
      </c>
      <c r="D35">
        <f>Table1_2[[#This Row],[piWaveLevel]]/5</f>
        <v>6.8</v>
      </c>
    </row>
    <row r="36" spans="1:4" x14ac:dyDescent="0.25">
      <c r="A36">
        <v>35</v>
      </c>
      <c r="B36">
        <v>100</v>
      </c>
      <c r="C36">
        <v>200</v>
      </c>
      <c r="D36">
        <f>Table1_2[[#This Row],[piWaveLevel]]/5</f>
        <v>7</v>
      </c>
    </row>
    <row r="37" spans="1:4" x14ac:dyDescent="0.25">
      <c r="A37">
        <v>36</v>
      </c>
      <c r="B37">
        <v>100</v>
      </c>
      <c r="C37">
        <v>200</v>
      </c>
      <c r="D37">
        <f>Table1_2[[#This Row],[piWaveLevel]]/5</f>
        <v>7.2</v>
      </c>
    </row>
    <row r="38" spans="1:4" x14ac:dyDescent="0.25">
      <c r="A38">
        <v>37</v>
      </c>
      <c r="B38">
        <v>100</v>
      </c>
      <c r="C38">
        <v>200</v>
      </c>
      <c r="D38">
        <f>Table1_2[[#This Row],[piWaveLevel]]/5</f>
        <v>7.4</v>
      </c>
    </row>
    <row r="39" spans="1:4" x14ac:dyDescent="0.25">
      <c r="A39">
        <v>38</v>
      </c>
      <c r="B39">
        <v>100</v>
      </c>
      <c r="C39">
        <v>200</v>
      </c>
      <c r="D39">
        <f>Table1_2[[#This Row],[piWaveLevel]]/5</f>
        <v>7.6</v>
      </c>
    </row>
    <row r="40" spans="1:4" x14ac:dyDescent="0.25">
      <c r="A40">
        <v>39</v>
      </c>
      <c r="B40">
        <v>100</v>
      </c>
      <c r="C40">
        <v>200</v>
      </c>
      <c r="D40">
        <f>Table1_2[[#This Row],[piWaveLevel]]/5</f>
        <v>7.8</v>
      </c>
    </row>
    <row r="41" spans="1:4" x14ac:dyDescent="0.25">
      <c r="A41">
        <v>40</v>
      </c>
      <c r="B41">
        <v>100</v>
      </c>
      <c r="C41">
        <v>200</v>
      </c>
      <c r="D41">
        <f>Table1_2[[#This Row],[piWaveLevel]]/5</f>
        <v>8</v>
      </c>
    </row>
    <row r="42" spans="1:4" x14ac:dyDescent="0.25">
      <c r="A42">
        <v>41</v>
      </c>
      <c r="B42">
        <v>100</v>
      </c>
      <c r="C42">
        <v>200</v>
      </c>
      <c r="D42">
        <f>Table1_2[[#This Row],[piWaveLevel]]/5</f>
        <v>8.1999999999999993</v>
      </c>
    </row>
    <row r="43" spans="1:4" x14ac:dyDescent="0.25">
      <c r="A43">
        <v>42</v>
      </c>
      <c r="B43">
        <v>100</v>
      </c>
      <c r="C43">
        <v>200</v>
      </c>
      <c r="D43">
        <f>Table1_2[[#This Row],[piWaveLevel]]/5</f>
        <v>8.4</v>
      </c>
    </row>
    <row r="44" spans="1:4" x14ac:dyDescent="0.25">
      <c r="A44">
        <v>43</v>
      </c>
      <c r="B44">
        <v>100</v>
      </c>
      <c r="C44">
        <v>200</v>
      </c>
      <c r="D44">
        <f>Table1_2[[#This Row],[piWaveLevel]]/5</f>
        <v>8.6</v>
      </c>
    </row>
    <row r="45" spans="1:4" x14ac:dyDescent="0.25">
      <c r="A45">
        <v>44</v>
      </c>
      <c r="B45">
        <v>100</v>
      </c>
      <c r="C45">
        <v>200</v>
      </c>
      <c r="D45">
        <f>Table1_2[[#This Row],[piWaveLevel]]/5</f>
        <v>8.8000000000000007</v>
      </c>
    </row>
    <row r="46" spans="1:4" x14ac:dyDescent="0.25">
      <c r="A46">
        <v>45</v>
      </c>
      <c r="B46">
        <v>100</v>
      </c>
      <c r="C46">
        <v>200</v>
      </c>
      <c r="D46">
        <f>Table1_2[[#This Row],[piWaveLevel]]/5</f>
        <v>9</v>
      </c>
    </row>
    <row r="47" spans="1:4" x14ac:dyDescent="0.25">
      <c r="A47">
        <v>46</v>
      </c>
      <c r="B47">
        <v>100</v>
      </c>
      <c r="C47">
        <v>200</v>
      </c>
      <c r="D47">
        <f>Table1_2[[#This Row],[piWaveLevel]]/5</f>
        <v>9.1999999999999993</v>
      </c>
    </row>
    <row r="48" spans="1:4" x14ac:dyDescent="0.25">
      <c r="A48">
        <v>47</v>
      </c>
      <c r="B48">
        <v>100</v>
      </c>
      <c r="C48">
        <v>200</v>
      </c>
      <c r="D48">
        <f>Table1_2[[#This Row],[piWaveLevel]]/5</f>
        <v>9.4</v>
      </c>
    </row>
    <row r="49" spans="1:4" x14ac:dyDescent="0.25">
      <c r="A49">
        <v>48</v>
      </c>
      <c r="B49">
        <v>100</v>
      </c>
      <c r="C49">
        <v>200</v>
      </c>
      <c r="D49">
        <f>Table1_2[[#This Row],[piWaveLevel]]/5</f>
        <v>9.6</v>
      </c>
    </row>
    <row r="50" spans="1:4" x14ac:dyDescent="0.25">
      <c r="A50">
        <v>49</v>
      </c>
      <c r="B50">
        <v>100</v>
      </c>
      <c r="C50">
        <v>200</v>
      </c>
      <c r="D50">
        <f>Table1_2[[#This Row],[piWaveLevel]]/5</f>
        <v>9.8000000000000007</v>
      </c>
    </row>
    <row r="51" spans="1:4" x14ac:dyDescent="0.25">
      <c r="A51">
        <v>50</v>
      </c>
      <c r="B51">
        <v>100</v>
      </c>
      <c r="C51">
        <v>200</v>
      </c>
      <c r="D51">
        <f>Table1_2[[#This Row],[piWaveLevel]]/5</f>
        <v>10</v>
      </c>
    </row>
    <row r="52" spans="1:4" x14ac:dyDescent="0.25">
      <c r="A52">
        <v>51</v>
      </c>
      <c r="B52">
        <v>100</v>
      </c>
      <c r="C52">
        <v>200</v>
      </c>
      <c r="D52">
        <f>Table1_2[[#This Row],[piWaveLevel]]/5</f>
        <v>10.199999999999999</v>
      </c>
    </row>
    <row r="53" spans="1:4" x14ac:dyDescent="0.25">
      <c r="A53">
        <v>52</v>
      </c>
      <c r="B53">
        <v>100</v>
      </c>
      <c r="C53">
        <v>200</v>
      </c>
      <c r="D53">
        <f>Table1_2[[#This Row],[piWaveLevel]]/5</f>
        <v>10.4</v>
      </c>
    </row>
    <row r="54" spans="1:4" x14ac:dyDescent="0.25">
      <c r="A54">
        <v>53</v>
      </c>
      <c r="B54">
        <v>100</v>
      </c>
      <c r="C54">
        <v>200</v>
      </c>
      <c r="D54">
        <f>Table1_2[[#This Row],[piWaveLevel]]/5</f>
        <v>10.6</v>
      </c>
    </row>
    <row r="55" spans="1:4" x14ac:dyDescent="0.25">
      <c r="A55">
        <v>54</v>
      </c>
      <c r="B55">
        <v>100</v>
      </c>
      <c r="C55">
        <v>200</v>
      </c>
      <c r="D55">
        <f>Table1_2[[#This Row],[piWaveLevel]]/5</f>
        <v>10.8</v>
      </c>
    </row>
    <row r="56" spans="1:4" x14ac:dyDescent="0.25">
      <c r="A56">
        <v>55</v>
      </c>
      <c r="B56">
        <v>100</v>
      </c>
      <c r="C56">
        <v>200</v>
      </c>
      <c r="D56">
        <f>Table1_2[[#This Row],[piWaveLevel]]/5</f>
        <v>11</v>
      </c>
    </row>
    <row r="57" spans="1:4" x14ac:dyDescent="0.25">
      <c r="A57">
        <v>56</v>
      </c>
      <c r="B57">
        <v>100</v>
      </c>
      <c r="C57">
        <v>200</v>
      </c>
      <c r="D57">
        <f>Table1_2[[#This Row],[piWaveLevel]]/5</f>
        <v>11.2</v>
      </c>
    </row>
    <row r="58" spans="1:4" x14ac:dyDescent="0.25">
      <c r="A58">
        <v>57</v>
      </c>
      <c r="B58">
        <v>100</v>
      </c>
      <c r="C58">
        <v>200</v>
      </c>
      <c r="D58">
        <f>Table1_2[[#This Row],[piWaveLevel]]/5</f>
        <v>11.4</v>
      </c>
    </row>
    <row r="59" spans="1:4" x14ac:dyDescent="0.25">
      <c r="A59">
        <v>58</v>
      </c>
      <c r="B59">
        <v>100</v>
      </c>
      <c r="C59">
        <v>200</v>
      </c>
      <c r="D59">
        <f>Table1_2[[#This Row],[piWaveLevel]]/5</f>
        <v>11.6</v>
      </c>
    </row>
    <row r="60" spans="1:4" x14ac:dyDescent="0.25">
      <c r="A60">
        <v>59</v>
      </c>
      <c r="B60">
        <v>100</v>
      </c>
      <c r="C60">
        <v>200</v>
      </c>
      <c r="D60">
        <f>Table1_2[[#This Row],[piWaveLevel]]/5</f>
        <v>11.8</v>
      </c>
    </row>
    <row r="61" spans="1:4" x14ac:dyDescent="0.25">
      <c r="A61">
        <v>60</v>
      </c>
      <c r="B61">
        <v>100</v>
      </c>
      <c r="C61">
        <v>200</v>
      </c>
      <c r="D61">
        <f>Table1_2[[#This Row],[piWaveLevel]]/5</f>
        <v>12</v>
      </c>
    </row>
    <row r="62" spans="1:4" x14ac:dyDescent="0.25">
      <c r="A62">
        <v>61</v>
      </c>
      <c r="B62">
        <v>100</v>
      </c>
      <c r="C62">
        <v>200</v>
      </c>
      <c r="D62">
        <f>Table1_2[[#This Row],[piWaveLevel]]/5</f>
        <v>12.2</v>
      </c>
    </row>
    <row r="63" spans="1:4" x14ac:dyDescent="0.25">
      <c r="A63">
        <v>62</v>
      </c>
      <c r="B63">
        <v>100</v>
      </c>
      <c r="C63">
        <v>200</v>
      </c>
      <c r="D63">
        <f>Table1_2[[#This Row],[piWaveLevel]]/5</f>
        <v>12.4</v>
      </c>
    </row>
    <row r="64" spans="1:4" x14ac:dyDescent="0.25">
      <c r="A64">
        <v>63</v>
      </c>
      <c r="B64">
        <v>100</v>
      </c>
      <c r="C64">
        <v>200</v>
      </c>
      <c r="D64">
        <f>Table1_2[[#This Row],[piWaveLevel]]/5</f>
        <v>12.6</v>
      </c>
    </row>
    <row r="65" spans="1:4" x14ac:dyDescent="0.25">
      <c r="A65">
        <v>64</v>
      </c>
      <c r="B65">
        <v>100</v>
      </c>
      <c r="C65">
        <v>200</v>
      </c>
      <c r="D65">
        <f>Table1_2[[#This Row],[piWaveLevel]]/5</f>
        <v>12.8</v>
      </c>
    </row>
    <row r="66" spans="1:4" x14ac:dyDescent="0.25">
      <c r="A66">
        <v>65</v>
      </c>
      <c r="B66">
        <v>100</v>
      </c>
      <c r="C66">
        <v>200</v>
      </c>
      <c r="D66">
        <f>Table1_2[[#This Row],[piWaveLevel]]/5</f>
        <v>13</v>
      </c>
    </row>
    <row r="67" spans="1:4" x14ac:dyDescent="0.25">
      <c r="A67">
        <v>66</v>
      </c>
      <c r="B67">
        <v>100</v>
      </c>
      <c r="C67">
        <v>200</v>
      </c>
      <c r="D67">
        <f>Table1_2[[#This Row],[piWaveLevel]]/5</f>
        <v>13.2</v>
      </c>
    </row>
    <row r="68" spans="1:4" x14ac:dyDescent="0.25">
      <c r="A68">
        <v>67</v>
      </c>
      <c r="B68">
        <v>100</v>
      </c>
      <c r="C68">
        <v>200</v>
      </c>
      <c r="D68">
        <f>Table1_2[[#This Row],[piWaveLevel]]/5</f>
        <v>13.4</v>
      </c>
    </row>
    <row r="69" spans="1:4" x14ac:dyDescent="0.25">
      <c r="A69">
        <v>68</v>
      </c>
      <c r="B69">
        <v>100</v>
      </c>
      <c r="C69">
        <v>200</v>
      </c>
      <c r="D69">
        <f>Table1_2[[#This Row],[piWaveLevel]]/5</f>
        <v>13.6</v>
      </c>
    </row>
    <row r="70" spans="1:4" x14ac:dyDescent="0.25">
      <c r="A70">
        <v>69</v>
      </c>
      <c r="B70">
        <v>100</v>
      </c>
      <c r="C70">
        <v>200</v>
      </c>
      <c r="D70">
        <f>Table1_2[[#This Row],[piWaveLevel]]/5</f>
        <v>13.8</v>
      </c>
    </row>
    <row r="71" spans="1:4" x14ac:dyDescent="0.25">
      <c r="A71">
        <v>70</v>
      </c>
      <c r="B71">
        <v>100</v>
      </c>
      <c r="C71">
        <v>200</v>
      </c>
      <c r="D71">
        <f>Table1_2[[#This Row],[piWaveLevel]]/5</f>
        <v>14</v>
      </c>
    </row>
    <row r="72" spans="1:4" x14ac:dyDescent="0.25">
      <c r="A72">
        <v>71</v>
      </c>
      <c r="B72">
        <v>100</v>
      </c>
      <c r="C72">
        <v>200</v>
      </c>
      <c r="D72">
        <f>Table1_2[[#This Row],[piWaveLevel]]/5</f>
        <v>14.2</v>
      </c>
    </row>
    <row r="73" spans="1:4" x14ac:dyDescent="0.25">
      <c r="A73">
        <v>72</v>
      </c>
      <c r="B73">
        <v>100</v>
      </c>
      <c r="C73">
        <v>200</v>
      </c>
      <c r="D73">
        <f>Table1_2[[#This Row],[piWaveLevel]]/5</f>
        <v>14.4</v>
      </c>
    </row>
    <row r="74" spans="1:4" x14ac:dyDescent="0.25">
      <c r="A74">
        <v>73</v>
      </c>
      <c r="B74">
        <v>100</v>
      </c>
      <c r="C74">
        <v>200</v>
      </c>
      <c r="D74">
        <f>Table1_2[[#This Row],[piWaveLevel]]/5</f>
        <v>14.6</v>
      </c>
    </row>
    <row r="75" spans="1:4" x14ac:dyDescent="0.25">
      <c r="A75">
        <v>74</v>
      </c>
      <c r="B75">
        <v>100</v>
      </c>
      <c r="C75">
        <v>200</v>
      </c>
      <c r="D75">
        <f>Table1_2[[#This Row],[piWaveLevel]]/5</f>
        <v>14.8</v>
      </c>
    </row>
    <row r="76" spans="1:4" x14ac:dyDescent="0.25">
      <c r="A76">
        <v>75</v>
      </c>
      <c r="B76">
        <v>100</v>
      </c>
      <c r="C76">
        <v>200</v>
      </c>
      <c r="D76">
        <f>Table1_2[[#This Row],[piWaveLevel]]/5</f>
        <v>15</v>
      </c>
    </row>
    <row r="77" spans="1:4" x14ac:dyDescent="0.25">
      <c r="A77">
        <v>76</v>
      </c>
      <c r="B77">
        <v>100</v>
      </c>
      <c r="C77">
        <v>200</v>
      </c>
      <c r="D77">
        <f>Table1_2[[#This Row],[piWaveLevel]]/5</f>
        <v>15.2</v>
      </c>
    </row>
    <row r="78" spans="1:4" x14ac:dyDescent="0.25">
      <c r="A78">
        <v>77</v>
      </c>
      <c r="B78">
        <v>100</v>
      </c>
      <c r="C78">
        <v>200</v>
      </c>
      <c r="D78">
        <f>Table1_2[[#This Row],[piWaveLevel]]/5</f>
        <v>15.4</v>
      </c>
    </row>
    <row r="79" spans="1:4" x14ac:dyDescent="0.25">
      <c r="A79">
        <v>78</v>
      </c>
      <c r="B79">
        <v>100</v>
      </c>
      <c r="C79">
        <v>200</v>
      </c>
      <c r="D79">
        <f>Table1_2[[#This Row],[piWaveLevel]]/5</f>
        <v>15.6</v>
      </c>
    </row>
    <row r="80" spans="1:4" x14ac:dyDescent="0.25">
      <c r="A80">
        <v>79</v>
      </c>
      <c r="B80">
        <v>100</v>
      </c>
      <c r="C80">
        <v>200</v>
      </c>
      <c r="D80">
        <f>Table1_2[[#This Row],[piWaveLevel]]/5</f>
        <v>15.8</v>
      </c>
    </row>
    <row r="81" spans="1:4" x14ac:dyDescent="0.25">
      <c r="A81">
        <v>80</v>
      </c>
      <c r="B81">
        <v>100</v>
      </c>
      <c r="C81">
        <v>200</v>
      </c>
      <c r="D81">
        <f>Table1_2[[#This Row],[piWaveLevel]]/5</f>
        <v>16</v>
      </c>
    </row>
    <row r="82" spans="1:4" x14ac:dyDescent="0.25">
      <c r="A82">
        <v>81</v>
      </c>
      <c r="B82">
        <v>100</v>
      </c>
      <c r="C82">
        <v>200</v>
      </c>
      <c r="D82">
        <f>Table1_2[[#This Row],[piWaveLevel]]/5</f>
        <v>16.2</v>
      </c>
    </row>
    <row r="83" spans="1:4" x14ac:dyDescent="0.25">
      <c r="A83">
        <v>82</v>
      </c>
      <c r="B83">
        <v>100</v>
      </c>
      <c r="C83">
        <v>200</v>
      </c>
      <c r="D83">
        <f>Table1_2[[#This Row],[piWaveLevel]]/5</f>
        <v>16.399999999999999</v>
      </c>
    </row>
    <row r="84" spans="1:4" x14ac:dyDescent="0.25">
      <c r="A84">
        <v>83</v>
      </c>
      <c r="B84">
        <v>100</v>
      </c>
      <c r="C84">
        <v>200</v>
      </c>
      <c r="D84">
        <f>Table1_2[[#This Row],[piWaveLevel]]/5</f>
        <v>16.600000000000001</v>
      </c>
    </row>
    <row r="85" spans="1:4" x14ac:dyDescent="0.25">
      <c r="A85">
        <v>84</v>
      </c>
      <c r="B85">
        <v>100</v>
      </c>
      <c r="C85">
        <v>200</v>
      </c>
      <c r="D85">
        <f>Table1_2[[#This Row],[piWaveLevel]]/5</f>
        <v>16.8</v>
      </c>
    </row>
    <row r="86" spans="1:4" x14ac:dyDescent="0.25">
      <c r="A86">
        <v>85</v>
      </c>
      <c r="B86">
        <v>100</v>
      </c>
      <c r="C86">
        <v>200</v>
      </c>
      <c r="D86">
        <f>Table1_2[[#This Row],[piWaveLevel]]/5</f>
        <v>17</v>
      </c>
    </row>
    <row r="87" spans="1:4" x14ac:dyDescent="0.25">
      <c r="A87">
        <v>86</v>
      </c>
      <c r="B87">
        <v>100</v>
      </c>
      <c r="C87">
        <v>200</v>
      </c>
      <c r="D87">
        <f>Table1_2[[#This Row],[piWaveLevel]]/5</f>
        <v>17.2</v>
      </c>
    </row>
    <row r="88" spans="1:4" x14ac:dyDescent="0.25">
      <c r="A88">
        <v>87</v>
      </c>
      <c r="B88">
        <v>100</v>
      </c>
      <c r="C88">
        <v>200</v>
      </c>
      <c r="D88">
        <f>Table1_2[[#This Row],[piWaveLevel]]/5</f>
        <v>17.399999999999999</v>
      </c>
    </row>
    <row r="89" spans="1:4" x14ac:dyDescent="0.25">
      <c r="A89">
        <v>88</v>
      </c>
      <c r="B89">
        <v>100</v>
      </c>
      <c r="C89">
        <v>200</v>
      </c>
      <c r="D89">
        <f>Table1_2[[#This Row],[piWaveLevel]]/5</f>
        <v>17.600000000000001</v>
      </c>
    </row>
    <row r="90" spans="1:4" x14ac:dyDescent="0.25">
      <c r="A90">
        <v>89</v>
      </c>
      <c r="B90">
        <v>100</v>
      </c>
      <c r="C90">
        <v>200</v>
      </c>
      <c r="D90">
        <f>Table1_2[[#This Row],[piWaveLevel]]/5</f>
        <v>17.8</v>
      </c>
    </row>
    <row r="91" spans="1:4" x14ac:dyDescent="0.25">
      <c r="A91">
        <v>90</v>
      </c>
      <c r="B91">
        <v>100</v>
      </c>
      <c r="C91">
        <v>200</v>
      </c>
      <c r="D91">
        <f>Table1_2[[#This Row],[piWaveLevel]]/5</f>
        <v>18</v>
      </c>
    </row>
    <row r="92" spans="1:4" x14ac:dyDescent="0.25">
      <c r="A92">
        <v>91</v>
      </c>
      <c r="B92">
        <v>100</v>
      </c>
      <c r="C92">
        <v>200</v>
      </c>
      <c r="D92">
        <f>Table1_2[[#This Row],[piWaveLevel]]/5</f>
        <v>18.2</v>
      </c>
    </row>
    <row r="93" spans="1:4" x14ac:dyDescent="0.25">
      <c r="A93">
        <v>92</v>
      </c>
      <c r="B93">
        <v>100</v>
      </c>
      <c r="C93">
        <v>200</v>
      </c>
      <c r="D93">
        <f>Table1_2[[#This Row],[piWaveLevel]]/5</f>
        <v>18.399999999999999</v>
      </c>
    </row>
    <row r="94" spans="1:4" x14ac:dyDescent="0.25">
      <c r="A94">
        <v>93</v>
      </c>
      <c r="B94">
        <v>100</v>
      </c>
      <c r="C94">
        <v>200</v>
      </c>
      <c r="D94">
        <f>Table1_2[[#This Row],[piWaveLevel]]/5</f>
        <v>18.600000000000001</v>
      </c>
    </row>
    <row r="95" spans="1:4" x14ac:dyDescent="0.25">
      <c r="A95">
        <v>94</v>
      </c>
      <c r="B95">
        <v>100</v>
      </c>
      <c r="C95">
        <v>200</v>
      </c>
      <c r="D95">
        <f>Table1_2[[#This Row],[piWaveLevel]]/5</f>
        <v>18.8</v>
      </c>
    </row>
    <row r="96" spans="1:4" x14ac:dyDescent="0.25">
      <c r="A96">
        <v>95</v>
      </c>
      <c r="B96">
        <v>100</v>
      </c>
      <c r="C96">
        <v>200</v>
      </c>
      <c r="D96">
        <f>Table1_2[[#This Row],[piWaveLevel]]/5</f>
        <v>19</v>
      </c>
    </row>
    <row r="97" spans="1:4" x14ac:dyDescent="0.25">
      <c r="A97">
        <v>96</v>
      </c>
      <c r="B97">
        <v>100</v>
      </c>
      <c r="C97">
        <v>200</v>
      </c>
      <c r="D97">
        <f>Table1_2[[#This Row],[piWaveLevel]]/5</f>
        <v>19.2</v>
      </c>
    </row>
    <row r="98" spans="1:4" x14ac:dyDescent="0.25">
      <c r="A98">
        <v>97</v>
      </c>
      <c r="B98">
        <v>100</v>
      </c>
      <c r="C98">
        <v>200</v>
      </c>
      <c r="D98">
        <f>Table1_2[[#This Row],[piWaveLevel]]/5</f>
        <v>19.399999999999999</v>
      </c>
    </row>
    <row r="99" spans="1:4" x14ac:dyDescent="0.25">
      <c r="A99">
        <v>98</v>
      </c>
      <c r="B99">
        <v>100</v>
      </c>
      <c r="C99">
        <v>200</v>
      </c>
      <c r="D99">
        <f>Table1_2[[#This Row],[piWaveLevel]]/5</f>
        <v>19.600000000000001</v>
      </c>
    </row>
    <row r="100" spans="1:4" x14ac:dyDescent="0.25">
      <c r="A100">
        <v>99</v>
      </c>
      <c r="B100">
        <v>100</v>
      </c>
      <c r="C100">
        <v>200</v>
      </c>
      <c r="D100">
        <f>Table1_2[[#This Row],[piWaveLevel]]/5</f>
        <v>19.8</v>
      </c>
    </row>
    <row r="101" spans="1:4" x14ac:dyDescent="0.25">
      <c r="A101">
        <v>100</v>
      </c>
      <c r="B101">
        <v>100</v>
      </c>
      <c r="C101">
        <v>200</v>
      </c>
      <c r="D101">
        <f>Table1_2[[#This Row],[piWaveLevel]]/5</f>
        <v>20</v>
      </c>
    </row>
    <row r="102" spans="1:4" x14ac:dyDescent="0.25">
      <c r="A102">
        <v>101</v>
      </c>
      <c r="B102">
        <v>100</v>
      </c>
      <c r="C102">
        <v>200</v>
      </c>
      <c r="D102">
        <f>Table1_2[[#This Row],[piWaveLevel]]/5</f>
        <v>20.2</v>
      </c>
    </row>
    <row r="103" spans="1:4" x14ac:dyDescent="0.25">
      <c r="A103">
        <v>102</v>
      </c>
      <c r="B103">
        <v>100</v>
      </c>
      <c r="C103">
        <v>200</v>
      </c>
      <c r="D103">
        <f>Table1_2[[#This Row],[piWaveLevel]]/5</f>
        <v>20.399999999999999</v>
      </c>
    </row>
    <row r="104" spans="1:4" x14ac:dyDescent="0.25">
      <c r="A104">
        <v>103</v>
      </c>
      <c r="B104">
        <v>100</v>
      </c>
      <c r="C104">
        <v>200</v>
      </c>
      <c r="D104">
        <f>Table1_2[[#This Row],[piWaveLevel]]/5</f>
        <v>20.6</v>
      </c>
    </row>
    <row r="105" spans="1:4" x14ac:dyDescent="0.25">
      <c r="A105">
        <v>104</v>
      </c>
      <c r="B105">
        <v>100</v>
      </c>
      <c r="C105">
        <v>200</v>
      </c>
      <c r="D105">
        <f>Table1_2[[#This Row],[piWaveLevel]]/5</f>
        <v>20.8</v>
      </c>
    </row>
    <row r="106" spans="1:4" x14ac:dyDescent="0.25">
      <c r="A106">
        <v>105</v>
      </c>
      <c r="B106">
        <v>100</v>
      </c>
      <c r="C106">
        <v>200</v>
      </c>
      <c r="D106">
        <f>Table1_2[[#This Row],[piWaveLevel]]/5</f>
        <v>21</v>
      </c>
    </row>
    <row r="107" spans="1:4" x14ac:dyDescent="0.25">
      <c r="A107">
        <v>106</v>
      </c>
      <c r="B107">
        <v>100</v>
      </c>
      <c r="C107">
        <v>200</v>
      </c>
      <c r="D107">
        <f>Table1_2[[#This Row],[piWaveLevel]]/5</f>
        <v>21.2</v>
      </c>
    </row>
    <row r="108" spans="1:4" x14ac:dyDescent="0.25">
      <c r="A108">
        <v>107</v>
      </c>
      <c r="B108">
        <v>100</v>
      </c>
      <c r="C108">
        <v>200</v>
      </c>
      <c r="D108">
        <f>Table1_2[[#This Row],[piWaveLevel]]/5</f>
        <v>21.4</v>
      </c>
    </row>
    <row r="109" spans="1:4" x14ac:dyDescent="0.25">
      <c r="A109">
        <v>108</v>
      </c>
      <c r="B109">
        <v>100</v>
      </c>
      <c r="C109">
        <v>200</v>
      </c>
      <c r="D109">
        <f>Table1_2[[#This Row],[piWaveLevel]]/5</f>
        <v>21.6</v>
      </c>
    </row>
    <row r="110" spans="1:4" x14ac:dyDescent="0.25">
      <c r="A110">
        <v>109</v>
      </c>
      <c r="B110">
        <v>100</v>
      </c>
      <c r="C110">
        <v>200</v>
      </c>
      <c r="D110">
        <f>Table1_2[[#This Row],[piWaveLevel]]/5</f>
        <v>21.8</v>
      </c>
    </row>
    <row r="111" spans="1:4" x14ac:dyDescent="0.25">
      <c r="A111">
        <v>110</v>
      </c>
      <c r="B111">
        <v>100</v>
      </c>
      <c r="C111">
        <v>200</v>
      </c>
      <c r="D111">
        <f>Table1_2[[#This Row],[piWaveLevel]]/5</f>
        <v>22</v>
      </c>
    </row>
    <row r="112" spans="1:4" x14ac:dyDescent="0.25">
      <c r="A112">
        <v>111</v>
      </c>
      <c r="B112">
        <v>100</v>
      </c>
      <c r="C112">
        <v>200</v>
      </c>
      <c r="D112">
        <f>Table1_2[[#This Row],[piWaveLevel]]/5</f>
        <v>22.2</v>
      </c>
    </row>
    <row r="113" spans="1:4" x14ac:dyDescent="0.25">
      <c r="A113">
        <v>112</v>
      </c>
      <c r="B113">
        <v>100</v>
      </c>
      <c r="C113">
        <v>200</v>
      </c>
      <c r="D113">
        <f>Table1_2[[#This Row],[piWaveLevel]]/5</f>
        <v>22.4</v>
      </c>
    </row>
    <row r="114" spans="1:4" x14ac:dyDescent="0.25">
      <c r="A114">
        <v>113</v>
      </c>
      <c r="B114">
        <v>100</v>
      </c>
      <c r="C114">
        <v>200</v>
      </c>
      <c r="D114">
        <f>Table1_2[[#This Row],[piWaveLevel]]/5</f>
        <v>22.6</v>
      </c>
    </row>
    <row r="115" spans="1:4" x14ac:dyDescent="0.25">
      <c r="A115">
        <v>114</v>
      </c>
      <c r="B115">
        <v>100</v>
      </c>
      <c r="C115">
        <v>200</v>
      </c>
      <c r="D115">
        <f>Table1_2[[#This Row],[piWaveLevel]]/5</f>
        <v>22.8</v>
      </c>
    </row>
    <row r="116" spans="1:4" x14ac:dyDescent="0.25">
      <c r="A116">
        <v>115</v>
      </c>
      <c r="B116">
        <v>100</v>
      </c>
      <c r="C116">
        <v>200</v>
      </c>
      <c r="D116">
        <f>Table1_2[[#This Row],[piWaveLevel]]/5</f>
        <v>23</v>
      </c>
    </row>
    <row r="117" spans="1:4" x14ac:dyDescent="0.25">
      <c r="A117">
        <v>116</v>
      </c>
      <c r="B117">
        <v>100</v>
      </c>
      <c r="C117">
        <v>200</v>
      </c>
      <c r="D117">
        <f>Table1_2[[#This Row],[piWaveLevel]]/5</f>
        <v>23.2</v>
      </c>
    </row>
    <row r="118" spans="1:4" x14ac:dyDescent="0.25">
      <c r="A118">
        <v>117</v>
      </c>
      <c r="B118">
        <v>100</v>
      </c>
      <c r="C118">
        <v>200</v>
      </c>
      <c r="D118">
        <f>Table1_2[[#This Row],[piWaveLevel]]/5</f>
        <v>23.4</v>
      </c>
    </row>
    <row r="119" spans="1:4" x14ac:dyDescent="0.25">
      <c r="A119">
        <v>118</v>
      </c>
      <c r="B119">
        <v>100</v>
      </c>
      <c r="C119">
        <v>200</v>
      </c>
      <c r="D119">
        <f>Table1_2[[#This Row],[piWaveLevel]]/5</f>
        <v>23.6</v>
      </c>
    </row>
    <row r="120" spans="1:4" x14ac:dyDescent="0.25">
      <c r="A120">
        <v>119</v>
      </c>
      <c r="B120">
        <v>100</v>
      </c>
      <c r="C120">
        <v>200</v>
      </c>
      <c r="D120">
        <f>Table1_2[[#This Row],[piWaveLevel]]/5</f>
        <v>23.8</v>
      </c>
    </row>
    <row r="121" spans="1:4" x14ac:dyDescent="0.25">
      <c r="A121">
        <v>120</v>
      </c>
      <c r="B121">
        <v>100</v>
      </c>
      <c r="C121">
        <v>200</v>
      </c>
      <c r="D121">
        <f>Table1_2[[#This Row],[piWaveLevel]]/5</f>
        <v>24</v>
      </c>
    </row>
    <row r="122" spans="1:4" x14ac:dyDescent="0.25">
      <c r="A122">
        <v>121</v>
      </c>
      <c r="B122">
        <v>100</v>
      </c>
      <c r="C122">
        <v>200</v>
      </c>
      <c r="D122">
        <f>Table1_2[[#This Row],[piWaveLevel]]/5</f>
        <v>24.2</v>
      </c>
    </row>
    <row r="123" spans="1:4" x14ac:dyDescent="0.25">
      <c r="A123">
        <v>122</v>
      </c>
      <c r="B123">
        <v>100</v>
      </c>
      <c r="C123">
        <v>200</v>
      </c>
      <c r="D123">
        <f>Table1_2[[#This Row],[piWaveLevel]]/5</f>
        <v>24.4</v>
      </c>
    </row>
    <row r="124" spans="1:4" x14ac:dyDescent="0.25">
      <c r="A124">
        <v>123</v>
      </c>
      <c r="B124">
        <v>100</v>
      </c>
      <c r="C124">
        <v>200</v>
      </c>
      <c r="D124">
        <f>Table1_2[[#This Row],[piWaveLevel]]/5</f>
        <v>24.6</v>
      </c>
    </row>
    <row r="125" spans="1:4" x14ac:dyDescent="0.25">
      <c r="A125">
        <v>124</v>
      </c>
      <c r="B125">
        <v>100</v>
      </c>
      <c r="C125">
        <v>200</v>
      </c>
      <c r="D125">
        <f>Table1_2[[#This Row],[piWaveLevel]]/5</f>
        <v>24.8</v>
      </c>
    </row>
    <row r="126" spans="1:4" x14ac:dyDescent="0.25">
      <c r="A126">
        <v>125</v>
      </c>
      <c r="B126">
        <v>100</v>
      </c>
      <c r="C126">
        <v>200</v>
      </c>
      <c r="D126">
        <f>Table1_2[[#This Row],[piWaveLevel]]/5</f>
        <v>25</v>
      </c>
    </row>
    <row r="127" spans="1:4" x14ac:dyDescent="0.25">
      <c r="A127">
        <v>126</v>
      </c>
      <c r="B127">
        <v>100</v>
      </c>
      <c r="C127">
        <v>200</v>
      </c>
      <c r="D127">
        <f>Table1_2[[#This Row],[piWaveLevel]]/5</f>
        <v>25.2</v>
      </c>
    </row>
    <row r="128" spans="1:4" x14ac:dyDescent="0.25">
      <c r="A128">
        <v>127</v>
      </c>
      <c r="B128">
        <v>100</v>
      </c>
      <c r="C128">
        <v>200</v>
      </c>
      <c r="D128">
        <f>Table1_2[[#This Row],[piWaveLevel]]/5</f>
        <v>25.4</v>
      </c>
    </row>
    <row r="129" spans="1:4" x14ac:dyDescent="0.25">
      <c r="A129">
        <v>128</v>
      </c>
      <c r="B129">
        <v>100</v>
      </c>
      <c r="C129">
        <v>200</v>
      </c>
      <c r="D129">
        <f>Table1_2[[#This Row],[piWaveLevel]]/5</f>
        <v>25.6</v>
      </c>
    </row>
    <row r="130" spans="1:4" x14ac:dyDescent="0.25">
      <c r="A130">
        <v>129</v>
      </c>
      <c r="B130">
        <v>100</v>
      </c>
      <c r="C130">
        <v>200</v>
      </c>
      <c r="D130">
        <f>Table1_2[[#This Row],[piWaveLevel]]/5</f>
        <v>25.8</v>
      </c>
    </row>
    <row r="131" spans="1:4" x14ac:dyDescent="0.25">
      <c r="A131">
        <v>130</v>
      </c>
      <c r="B131">
        <v>100</v>
      </c>
      <c r="C131">
        <v>200</v>
      </c>
      <c r="D131">
        <f>Table1_2[[#This Row],[piWaveLevel]]/5</f>
        <v>26</v>
      </c>
    </row>
    <row r="132" spans="1:4" x14ac:dyDescent="0.25">
      <c r="A132">
        <v>131</v>
      </c>
      <c r="B132">
        <v>100</v>
      </c>
      <c r="C132">
        <v>200</v>
      </c>
      <c r="D132">
        <f>Table1_2[[#This Row],[piWaveLevel]]/5</f>
        <v>26.2</v>
      </c>
    </row>
    <row r="133" spans="1:4" x14ac:dyDescent="0.25">
      <c r="A133">
        <v>132</v>
      </c>
      <c r="B133">
        <v>100</v>
      </c>
      <c r="C133">
        <v>200</v>
      </c>
      <c r="D133">
        <f>Table1_2[[#This Row],[piWaveLevel]]/5</f>
        <v>26.4</v>
      </c>
    </row>
    <row r="134" spans="1:4" x14ac:dyDescent="0.25">
      <c r="A134">
        <v>133</v>
      </c>
      <c r="B134">
        <v>100</v>
      </c>
      <c r="C134">
        <v>200</v>
      </c>
      <c r="D134">
        <f>Table1_2[[#This Row],[piWaveLevel]]/5</f>
        <v>26.6</v>
      </c>
    </row>
    <row r="135" spans="1:4" x14ac:dyDescent="0.25">
      <c r="A135">
        <v>134</v>
      </c>
      <c r="B135">
        <v>100</v>
      </c>
      <c r="C135">
        <v>200</v>
      </c>
      <c r="D135">
        <f>Table1_2[[#This Row],[piWaveLevel]]/5</f>
        <v>26.8</v>
      </c>
    </row>
    <row r="136" spans="1:4" x14ac:dyDescent="0.25">
      <c r="A136">
        <v>135</v>
      </c>
      <c r="B136">
        <v>100</v>
      </c>
      <c r="C136">
        <v>200</v>
      </c>
      <c r="D136">
        <f>Table1_2[[#This Row],[piWaveLevel]]/5</f>
        <v>27</v>
      </c>
    </row>
    <row r="137" spans="1:4" x14ac:dyDescent="0.25">
      <c r="A137">
        <v>136</v>
      </c>
      <c r="B137">
        <v>100</v>
      </c>
      <c r="C137">
        <v>200</v>
      </c>
      <c r="D137">
        <f>Table1_2[[#This Row],[piWaveLevel]]/5</f>
        <v>27.2</v>
      </c>
    </row>
    <row r="138" spans="1:4" x14ac:dyDescent="0.25">
      <c r="A138">
        <v>137</v>
      </c>
      <c r="B138">
        <v>100</v>
      </c>
      <c r="C138">
        <v>200</v>
      </c>
      <c r="D138">
        <f>Table1_2[[#This Row],[piWaveLevel]]/5</f>
        <v>27.4</v>
      </c>
    </row>
    <row r="139" spans="1:4" x14ac:dyDescent="0.25">
      <c r="A139">
        <v>138</v>
      </c>
      <c r="B139">
        <v>100</v>
      </c>
      <c r="C139">
        <v>200</v>
      </c>
      <c r="D139">
        <f>Table1_2[[#This Row],[piWaveLevel]]/5</f>
        <v>27.6</v>
      </c>
    </row>
    <row r="140" spans="1:4" x14ac:dyDescent="0.25">
      <c r="A140">
        <v>139</v>
      </c>
      <c r="B140">
        <v>100</v>
      </c>
      <c r="C140">
        <v>200</v>
      </c>
      <c r="D140">
        <f>Table1_2[[#This Row],[piWaveLevel]]/5</f>
        <v>27.8</v>
      </c>
    </row>
    <row r="141" spans="1:4" x14ac:dyDescent="0.25">
      <c r="A141">
        <v>140</v>
      </c>
      <c r="B141">
        <v>100</v>
      </c>
      <c r="C141">
        <v>200</v>
      </c>
      <c r="D141">
        <f>Table1_2[[#This Row],[piWaveLevel]]/5</f>
        <v>28</v>
      </c>
    </row>
    <row r="142" spans="1:4" x14ac:dyDescent="0.25">
      <c r="A142">
        <v>141</v>
      </c>
      <c r="B142">
        <v>100</v>
      </c>
      <c r="C142">
        <v>200</v>
      </c>
      <c r="D142">
        <f>Table1_2[[#This Row],[piWaveLevel]]/5</f>
        <v>28.2</v>
      </c>
    </row>
    <row r="143" spans="1:4" x14ac:dyDescent="0.25">
      <c r="A143">
        <v>142</v>
      </c>
      <c r="B143">
        <v>100</v>
      </c>
      <c r="C143">
        <v>200</v>
      </c>
      <c r="D143">
        <f>Table1_2[[#This Row],[piWaveLevel]]/5</f>
        <v>28.4</v>
      </c>
    </row>
    <row r="144" spans="1:4" x14ac:dyDescent="0.25">
      <c r="A144">
        <v>143</v>
      </c>
      <c r="B144">
        <v>100</v>
      </c>
      <c r="C144">
        <v>200</v>
      </c>
      <c r="D144">
        <f>Table1_2[[#This Row],[piWaveLevel]]/5</f>
        <v>28.6</v>
      </c>
    </row>
    <row r="145" spans="1:4" x14ac:dyDescent="0.25">
      <c r="A145">
        <v>144</v>
      </c>
      <c r="B145">
        <v>100</v>
      </c>
      <c r="C145">
        <v>200</v>
      </c>
      <c r="D145">
        <f>Table1_2[[#This Row],[piWaveLevel]]/5</f>
        <v>28.8</v>
      </c>
    </row>
    <row r="146" spans="1:4" x14ac:dyDescent="0.25">
      <c r="A146">
        <v>145</v>
      </c>
      <c r="B146">
        <v>100</v>
      </c>
      <c r="C146">
        <v>200</v>
      </c>
      <c r="D146">
        <f>Table1_2[[#This Row],[piWaveLevel]]/5</f>
        <v>29</v>
      </c>
    </row>
    <row r="147" spans="1:4" x14ac:dyDescent="0.25">
      <c r="A147">
        <v>146</v>
      </c>
      <c r="B147">
        <v>100</v>
      </c>
      <c r="C147">
        <v>200</v>
      </c>
      <c r="D147">
        <f>Table1_2[[#This Row],[piWaveLevel]]/5</f>
        <v>29.2</v>
      </c>
    </row>
    <row r="148" spans="1:4" x14ac:dyDescent="0.25">
      <c r="A148">
        <v>147</v>
      </c>
      <c r="B148">
        <v>100</v>
      </c>
      <c r="C148">
        <v>200</v>
      </c>
      <c r="D148">
        <f>Table1_2[[#This Row],[piWaveLevel]]/5</f>
        <v>29.4</v>
      </c>
    </row>
    <row r="149" spans="1:4" x14ac:dyDescent="0.25">
      <c r="A149">
        <v>148</v>
      </c>
      <c r="B149">
        <v>100</v>
      </c>
      <c r="C149">
        <v>200</v>
      </c>
      <c r="D149">
        <f>Table1_2[[#This Row],[piWaveLevel]]/5</f>
        <v>29.6</v>
      </c>
    </row>
    <row r="150" spans="1:4" x14ac:dyDescent="0.25">
      <c r="A150">
        <v>149</v>
      </c>
      <c r="B150">
        <v>100</v>
      </c>
      <c r="C150">
        <v>200</v>
      </c>
      <c r="D150">
        <f>Table1_2[[#This Row],[piWaveLevel]]/5</f>
        <v>29.8</v>
      </c>
    </row>
    <row r="151" spans="1:4" x14ac:dyDescent="0.25">
      <c r="A151">
        <v>150</v>
      </c>
      <c r="B151">
        <v>100</v>
      </c>
      <c r="C151">
        <v>200</v>
      </c>
      <c r="D151">
        <f>Table1_2[[#This Row],[piWaveLevel]]/5</f>
        <v>30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2D08A-5FB7-4BF5-BD4B-A0A79F43200F}">
  <dimension ref="A1:C101"/>
  <sheetViews>
    <sheetView workbookViewId="0">
      <selection sqref="A1:C101"/>
    </sheetView>
  </sheetViews>
  <sheetFormatPr defaultRowHeight="15" x14ac:dyDescent="0.25"/>
  <cols>
    <col min="1" max="1" width="14.7109375" customWidth="1"/>
    <col min="2" max="2" width="7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3">
        <v>1</v>
      </c>
      <c r="B2" s="3">
        <f>15+(A2*4)</f>
        <v>19</v>
      </c>
      <c r="C2" s="3">
        <f>(B2+10)+(A2/5)</f>
        <v>29.2</v>
      </c>
    </row>
    <row r="3" spans="1:3" x14ac:dyDescent="0.25">
      <c r="A3" s="3">
        <v>2</v>
      </c>
      <c r="B3" s="3">
        <f t="shared" ref="B3:B66" si="0">15+(A3*4)</f>
        <v>23</v>
      </c>
      <c r="C3" s="3">
        <f t="shared" ref="C3:C34" si="1">(B3+10)+(A3/5)</f>
        <v>33.4</v>
      </c>
    </row>
    <row r="4" spans="1:3" x14ac:dyDescent="0.25">
      <c r="A4" s="3">
        <v>3</v>
      </c>
      <c r="B4" s="3">
        <f t="shared" si="0"/>
        <v>27</v>
      </c>
      <c r="C4" s="3">
        <f t="shared" si="1"/>
        <v>37.6</v>
      </c>
    </row>
    <row r="5" spans="1:3" x14ac:dyDescent="0.25">
      <c r="A5" s="3">
        <v>4</v>
      </c>
      <c r="B5" s="3">
        <f t="shared" si="0"/>
        <v>31</v>
      </c>
      <c r="C5" s="3">
        <f t="shared" si="1"/>
        <v>41.8</v>
      </c>
    </row>
    <row r="6" spans="1:3" x14ac:dyDescent="0.25">
      <c r="A6" s="3">
        <v>5</v>
      </c>
      <c r="B6" s="3">
        <f t="shared" si="0"/>
        <v>35</v>
      </c>
      <c r="C6" s="3">
        <f t="shared" si="1"/>
        <v>46</v>
      </c>
    </row>
    <row r="7" spans="1:3" x14ac:dyDescent="0.25">
      <c r="A7" s="3">
        <v>6</v>
      </c>
      <c r="B7" s="3">
        <f t="shared" si="0"/>
        <v>39</v>
      </c>
      <c r="C7" s="3">
        <f t="shared" si="1"/>
        <v>50.2</v>
      </c>
    </row>
    <row r="8" spans="1:3" x14ac:dyDescent="0.25">
      <c r="A8" s="3">
        <v>7</v>
      </c>
      <c r="B8" s="3">
        <f t="shared" si="0"/>
        <v>43</v>
      </c>
      <c r="C8" s="3">
        <f t="shared" si="1"/>
        <v>54.4</v>
      </c>
    </row>
    <row r="9" spans="1:3" x14ac:dyDescent="0.25">
      <c r="A9" s="3">
        <v>8</v>
      </c>
      <c r="B9" s="3">
        <f t="shared" si="0"/>
        <v>47</v>
      </c>
      <c r="C9" s="3">
        <f t="shared" si="1"/>
        <v>58.6</v>
      </c>
    </row>
    <row r="10" spans="1:3" x14ac:dyDescent="0.25">
      <c r="A10" s="3">
        <v>9</v>
      </c>
      <c r="B10" s="3">
        <f t="shared" si="0"/>
        <v>51</v>
      </c>
      <c r="C10" s="3">
        <f t="shared" si="1"/>
        <v>62.8</v>
      </c>
    </row>
    <row r="11" spans="1:3" x14ac:dyDescent="0.25">
      <c r="A11" s="3">
        <v>10</v>
      </c>
      <c r="B11" s="3">
        <f t="shared" si="0"/>
        <v>55</v>
      </c>
      <c r="C11" s="3">
        <f t="shared" si="1"/>
        <v>67</v>
      </c>
    </row>
    <row r="12" spans="1:3" x14ac:dyDescent="0.25">
      <c r="A12" s="3">
        <v>11</v>
      </c>
      <c r="B12" s="3">
        <f t="shared" si="0"/>
        <v>59</v>
      </c>
      <c r="C12" s="3">
        <f t="shared" si="1"/>
        <v>71.2</v>
      </c>
    </row>
    <row r="13" spans="1:3" x14ac:dyDescent="0.25">
      <c r="A13" s="3">
        <v>12</v>
      </c>
      <c r="B13" s="3">
        <f t="shared" si="0"/>
        <v>63</v>
      </c>
      <c r="C13" s="3">
        <f t="shared" si="1"/>
        <v>75.400000000000006</v>
      </c>
    </row>
    <row r="14" spans="1:3" x14ac:dyDescent="0.25">
      <c r="A14" s="3">
        <v>13</v>
      </c>
      <c r="B14" s="3">
        <f t="shared" si="0"/>
        <v>67</v>
      </c>
      <c r="C14" s="3">
        <f t="shared" si="1"/>
        <v>79.599999999999994</v>
      </c>
    </row>
    <row r="15" spans="1:3" x14ac:dyDescent="0.25">
      <c r="A15" s="3">
        <v>14</v>
      </c>
      <c r="B15" s="3">
        <f t="shared" si="0"/>
        <v>71</v>
      </c>
      <c r="C15" s="3">
        <f t="shared" si="1"/>
        <v>83.8</v>
      </c>
    </row>
    <row r="16" spans="1:3" x14ac:dyDescent="0.25">
      <c r="A16" s="3">
        <v>15</v>
      </c>
      <c r="B16" s="3">
        <f t="shared" si="0"/>
        <v>75</v>
      </c>
      <c r="C16" s="3">
        <f t="shared" si="1"/>
        <v>88</v>
      </c>
    </row>
    <row r="17" spans="1:3" x14ac:dyDescent="0.25">
      <c r="A17" s="3">
        <v>16</v>
      </c>
      <c r="B17" s="3">
        <f t="shared" si="0"/>
        <v>79</v>
      </c>
      <c r="C17" s="3">
        <f t="shared" si="1"/>
        <v>92.2</v>
      </c>
    </row>
    <row r="18" spans="1:3" x14ac:dyDescent="0.25">
      <c r="A18" s="3">
        <v>17</v>
      </c>
      <c r="B18" s="3">
        <f t="shared" si="0"/>
        <v>83</v>
      </c>
      <c r="C18" s="3">
        <f t="shared" si="1"/>
        <v>96.4</v>
      </c>
    </row>
    <row r="19" spans="1:3" x14ac:dyDescent="0.25">
      <c r="A19" s="3">
        <v>18</v>
      </c>
      <c r="B19" s="3">
        <f t="shared" si="0"/>
        <v>87</v>
      </c>
      <c r="C19" s="3">
        <f t="shared" si="1"/>
        <v>100.6</v>
      </c>
    </row>
    <row r="20" spans="1:3" x14ac:dyDescent="0.25">
      <c r="A20" s="3">
        <v>19</v>
      </c>
      <c r="B20" s="3">
        <f t="shared" si="0"/>
        <v>91</v>
      </c>
      <c r="C20" s="3">
        <f t="shared" si="1"/>
        <v>104.8</v>
      </c>
    </row>
    <row r="21" spans="1:3" x14ac:dyDescent="0.25">
      <c r="A21" s="3">
        <v>20</v>
      </c>
      <c r="B21" s="3">
        <f t="shared" si="0"/>
        <v>95</v>
      </c>
      <c r="C21" s="3">
        <f t="shared" si="1"/>
        <v>109</v>
      </c>
    </row>
    <row r="22" spans="1:3" x14ac:dyDescent="0.25">
      <c r="A22" s="3">
        <v>21</v>
      </c>
      <c r="B22" s="3">
        <f t="shared" si="0"/>
        <v>99</v>
      </c>
      <c r="C22" s="3">
        <f t="shared" si="1"/>
        <v>113.2</v>
      </c>
    </row>
    <row r="23" spans="1:3" x14ac:dyDescent="0.25">
      <c r="A23" s="3">
        <v>22</v>
      </c>
      <c r="B23" s="3">
        <f t="shared" si="0"/>
        <v>103</v>
      </c>
      <c r="C23" s="2">
        <f>(B23+10)+(A23/4)</f>
        <v>118.5</v>
      </c>
    </row>
    <row r="24" spans="1:3" x14ac:dyDescent="0.25">
      <c r="A24" s="3">
        <v>23</v>
      </c>
      <c r="B24" s="3">
        <f t="shared" si="0"/>
        <v>107</v>
      </c>
      <c r="C24" s="2">
        <f t="shared" ref="C24:C31" si="2">(B24+10)+(A24/4)</f>
        <v>122.75</v>
      </c>
    </row>
    <row r="25" spans="1:3" x14ac:dyDescent="0.25">
      <c r="A25" s="3">
        <v>24</v>
      </c>
      <c r="B25" s="3">
        <f t="shared" si="0"/>
        <v>111</v>
      </c>
      <c r="C25" s="2">
        <f t="shared" si="2"/>
        <v>127</v>
      </c>
    </row>
    <row r="26" spans="1:3" x14ac:dyDescent="0.25">
      <c r="A26" s="3">
        <v>25</v>
      </c>
      <c r="B26" s="3">
        <f t="shared" si="0"/>
        <v>115</v>
      </c>
      <c r="C26" s="2">
        <f t="shared" si="2"/>
        <v>131.25</v>
      </c>
    </row>
    <row r="27" spans="1:3" x14ac:dyDescent="0.25">
      <c r="A27" s="3">
        <v>26</v>
      </c>
      <c r="B27" s="3">
        <f t="shared" si="0"/>
        <v>119</v>
      </c>
      <c r="C27" s="2">
        <f t="shared" si="2"/>
        <v>135.5</v>
      </c>
    </row>
    <row r="28" spans="1:3" x14ac:dyDescent="0.25">
      <c r="A28" s="3">
        <v>27</v>
      </c>
      <c r="B28" s="3">
        <f t="shared" si="0"/>
        <v>123</v>
      </c>
      <c r="C28" s="2">
        <f t="shared" si="2"/>
        <v>139.75</v>
      </c>
    </row>
    <row r="29" spans="1:3" x14ac:dyDescent="0.25">
      <c r="A29" s="3">
        <v>28</v>
      </c>
      <c r="B29" s="3">
        <f t="shared" si="0"/>
        <v>127</v>
      </c>
      <c r="C29" s="2">
        <f t="shared" si="2"/>
        <v>144</v>
      </c>
    </row>
    <row r="30" spans="1:3" x14ac:dyDescent="0.25">
      <c r="A30" s="3">
        <v>29</v>
      </c>
      <c r="B30" s="3">
        <f t="shared" si="0"/>
        <v>131</v>
      </c>
      <c r="C30" s="2">
        <f t="shared" si="2"/>
        <v>148.25</v>
      </c>
    </row>
    <row r="31" spans="1:3" x14ac:dyDescent="0.25">
      <c r="A31" s="4">
        <v>30</v>
      </c>
      <c r="B31" s="4">
        <v>100</v>
      </c>
      <c r="C31" s="4">
        <v>200</v>
      </c>
    </row>
    <row r="32" spans="1:3" x14ac:dyDescent="0.25">
      <c r="A32" s="4">
        <v>31</v>
      </c>
      <c r="B32" s="4">
        <v>100</v>
      </c>
      <c r="C32" s="4">
        <v>200</v>
      </c>
    </row>
    <row r="33" spans="1:3" x14ac:dyDescent="0.25">
      <c r="A33" s="4">
        <v>32</v>
      </c>
      <c r="B33" s="4">
        <v>100</v>
      </c>
      <c r="C33" s="4">
        <v>200</v>
      </c>
    </row>
    <row r="34" spans="1:3" x14ac:dyDescent="0.25">
      <c r="A34" s="4">
        <v>33</v>
      </c>
      <c r="B34" s="4">
        <v>100</v>
      </c>
      <c r="C34" s="4">
        <v>200</v>
      </c>
    </row>
    <row r="35" spans="1:3" x14ac:dyDescent="0.25">
      <c r="A35" s="4">
        <v>34</v>
      </c>
      <c r="B35" s="4">
        <v>100</v>
      </c>
      <c r="C35" s="4">
        <v>200</v>
      </c>
    </row>
    <row r="36" spans="1:3" x14ac:dyDescent="0.25">
      <c r="A36" s="4">
        <v>35</v>
      </c>
      <c r="B36" s="4">
        <v>100</v>
      </c>
      <c r="C36" s="4">
        <v>200</v>
      </c>
    </row>
    <row r="37" spans="1:3" x14ac:dyDescent="0.25">
      <c r="A37" s="4">
        <v>36</v>
      </c>
      <c r="B37" s="4">
        <v>100</v>
      </c>
      <c r="C37" s="4">
        <v>200</v>
      </c>
    </row>
    <row r="38" spans="1:3" x14ac:dyDescent="0.25">
      <c r="A38" s="4">
        <v>37</v>
      </c>
      <c r="B38" s="4">
        <v>100</v>
      </c>
      <c r="C38" s="4">
        <v>200</v>
      </c>
    </row>
    <row r="39" spans="1:3" x14ac:dyDescent="0.25">
      <c r="A39" s="4">
        <v>38</v>
      </c>
      <c r="B39" s="4">
        <v>100</v>
      </c>
      <c r="C39" s="4">
        <v>200</v>
      </c>
    </row>
    <row r="40" spans="1:3" x14ac:dyDescent="0.25">
      <c r="A40" s="4">
        <v>39</v>
      </c>
      <c r="B40" s="4">
        <v>100</v>
      </c>
      <c r="C40" s="4">
        <v>200</v>
      </c>
    </row>
    <row r="41" spans="1:3" x14ac:dyDescent="0.25">
      <c r="A41" s="4">
        <v>40</v>
      </c>
      <c r="B41" s="4">
        <v>100</v>
      </c>
      <c r="C41" s="4">
        <v>200</v>
      </c>
    </row>
    <row r="42" spans="1:3" x14ac:dyDescent="0.25">
      <c r="A42" s="4">
        <v>41</v>
      </c>
      <c r="B42" s="4">
        <v>100</v>
      </c>
      <c r="C42" s="4">
        <v>200</v>
      </c>
    </row>
    <row r="43" spans="1:3" x14ac:dyDescent="0.25">
      <c r="A43" s="4">
        <v>42</v>
      </c>
      <c r="B43" s="4">
        <v>100</v>
      </c>
      <c r="C43" s="4">
        <v>200</v>
      </c>
    </row>
    <row r="44" spans="1:3" x14ac:dyDescent="0.25">
      <c r="A44" s="4">
        <v>43</v>
      </c>
      <c r="B44" s="4">
        <v>100</v>
      </c>
      <c r="C44" s="4">
        <v>200</v>
      </c>
    </row>
    <row r="45" spans="1:3" x14ac:dyDescent="0.25">
      <c r="A45" s="4">
        <v>44</v>
      </c>
      <c r="B45" s="4">
        <v>100</v>
      </c>
      <c r="C45" s="4">
        <v>200</v>
      </c>
    </row>
    <row r="46" spans="1:3" x14ac:dyDescent="0.25">
      <c r="A46" s="4">
        <v>45</v>
      </c>
      <c r="B46" s="4">
        <v>100</v>
      </c>
      <c r="C46" s="4">
        <v>200</v>
      </c>
    </row>
    <row r="47" spans="1:3" x14ac:dyDescent="0.25">
      <c r="A47" s="4">
        <v>46</v>
      </c>
      <c r="B47" s="4">
        <v>100</v>
      </c>
      <c r="C47" s="4">
        <v>200</v>
      </c>
    </row>
    <row r="48" spans="1:3" x14ac:dyDescent="0.25">
      <c r="A48" s="4">
        <v>47</v>
      </c>
      <c r="B48" s="4">
        <v>100</v>
      </c>
      <c r="C48" s="4">
        <v>200</v>
      </c>
    </row>
    <row r="49" spans="1:3" x14ac:dyDescent="0.25">
      <c r="A49" s="4">
        <v>48</v>
      </c>
      <c r="B49" s="4">
        <v>100</v>
      </c>
      <c r="C49" s="4">
        <v>200</v>
      </c>
    </row>
    <row r="50" spans="1:3" x14ac:dyDescent="0.25">
      <c r="A50" s="4">
        <v>49</v>
      </c>
      <c r="B50" s="4">
        <v>100</v>
      </c>
      <c r="C50" s="4">
        <v>200</v>
      </c>
    </row>
    <row r="51" spans="1:3" x14ac:dyDescent="0.25">
      <c r="A51" s="4">
        <v>50</v>
      </c>
      <c r="B51" s="4">
        <v>100</v>
      </c>
      <c r="C51" s="4">
        <v>200</v>
      </c>
    </row>
    <row r="52" spans="1:3" x14ac:dyDescent="0.25">
      <c r="A52" s="4">
        <v>51</v>
      </c>
      <c r="B52" s="4">
        <v>100</v>
      </c>
      <c r="C52" s="4">
        <v>200</v>
      </c>
    </row>
    <row r="53" spans="1:3" x14ac:dyDescent="0.25">
      <c r="A53" s="4">
        <v>52</v>
      </c>
      <c r="B53" s="4">
        <v>100</v>
      </c>
      <c r="C53" s="4">
        <v>200</v>
      </c>
    </row>
    <row r="54" spans="1:3" x14ac:dyDescent="0.25">
      <c r="A54" s="4">
        <v>53</v>
      </c>
      <c r="B54" s="4">
        <v>100</v>
      </c>
      <c r="C54" s="4">
        <v>200</v>
      </c>
    </row>
    <row r="55" spans="1:3" x14ac:dyDescent="0.25">
      <c r="A55" s="4">
        <v>54</v>
      </c>
      <c r="B55" s="4">
        <v>100</v>
      </c>
      <c r="C55" s="4">
        <v>200</v>
      </c>
    </row>
    <row r="56" spans="1:3" x14ac:dyDescent="0.25">
      <c r="A56" s="4">
        <v>55</v>
      </c>
      <c r="B56" s="4">
        <v>100</v>
      </c>
      <c r="C56" s="4">
        <v>200</v>
      </c>
    </row>
    <row r="57" spans="1:3" x14ac:dyDescent="0.25">
      <c r="A57" s="4">
        <v>56</v>
      </c>
      <c r="B57" s="4">
        <v>100</v>
      </c>
      <c r="C57" s="4">
        <v>200</v>
      </c>
    </row>
    <row r="58" spans="1:3" x14ac:dyDescent="0.25">
      <c r="A58" s="4">
        <v>57</v>
      </c>
      <c r="B58" s="4">
        <v>100</v>
      </c>
      <c r="C58" s="4">
        <v>200</v>
      </c>
    </row>
    <row r="59" spans="1:3" x14ac:dyDescent="0.25">
      <c r="A59" s="4">
        <v>58</v>
      </c>
      <c r="B59" s="4">
        <v>100</v>
      </c>
      <c r="C59" s="4">
        <v>200</v>
      </c>
    </row>
    <row r="60" spans="1:3" x14ac:dyDescent="0.25">
      <c r="A60" s="4">
        <v>59</v>
      </c>
      <c r="B60" s="4">
        <v>100</v>
      </c>
      <c r="C60" s="4">
        <v>200</v>
      </c>
    </row>
    <row r="61" spans="1:3" x14ac:dyDescent="0.25">
      <c r="A61" s="4">
        <v>60</v>
      </c>
      <c r="B61" s="4">
        <v>100</v>
      </c>
      <c r="C61" s="4">
        <v>200</v>
      </c>
    </row>
    <row r="62" spans="1:3" x14ac:dyDescent="0.25">
      <c r="A62" s="4">
        <v>61</v>
      </c>
      <c r="B62" s="4">
        <v>100</v>
      </c>
      <c r="C62" s="4">
        <v>200</v>
      </c>
    </row>
    <row r="63" spans="1:3" x14ac:dyDescent="0.25">
      <c r="A63" s="4">
        <v>62</v>
      </c>
      <c r="B63" s="4">
        <v>100</v>
      </c>
      <c r="C63" s="4">
        <v>200</v>
      </c>
    </row>
    <row r="64" spans="1:3" x14ac:dyDescent="0.25">
      <c r="A64" s="4">
        <v>63</v>
      </c>
      <c r="B64" s="4">
        <v>100</v>
      </c>
      <c r="C64" s="4">
        <v>200</v>
      </c>
    </row>
    <row r="65" spans="1:3" x14ac:dyDescent="0.25">
      <c r="A65" s="4">
        <v>64</v>
      </c>
      <c r="B65" s="4">
        <v>100</v>
      </c>
      <c r="C65" s="4">
        <v>200</v>
      </c>
    </row>
    <row r="66" spans="1:3" x14ac:dyDescent="0.25">
      <c r="A66" s="4">
        <v>65</v>
      </c>
      <c r="B66" s="4">
        <v>100</v>
      </c>
      <c r="C66" s="4">
        <v>200</v>
      </c>
    </row>
    <row r="67" spans="1:3" x14ac:dyDescent="0.25">
      <c r="A67" s="4">
        <v>66</v>
      </c>
      <c r="B67" s="4">
        <v>100</v>
      </c>
      <c r="C67" s="4">
        <v>200</v>
      </c>
    </row>
    <row r="68" spans="1:3" x14ac:dyDescent="0.25">
      <c r="A68" s="4">
        <v>67</v>
      </c>
      <c r="B68" s="4">
        <v>100</v>
      </c>
      <c r="C68" s="4">
        <v>200</v>
      </c>
    </row>
    <row r="69" spans="1:3" x14ac:dyDescent="0.25">
      <c r="A69" s="4">
        <v>68</v>
      </c>
      <c r="B69" s="4">
        <v>100</v>
      </c>
      <c r="C69" s="4">
        <v>200</v>
      </c>
    </row>
    <row r="70" spans="1:3" x14ac:dyDescent="0.25">
      <c r="A70" s="4">
        <v>69</v>
      </c>
      <c r="B70" s="4">
        <v>100</v>
      </c>
      <c r="C70" s="4">
        <v>200</v>
      </c>
    </row>
    <row r="71" spans="1:3" x14ac:dyDescent="0.25">
      <c r="A71" s="4">
        <v>70</v>
      </c>
      <c r="B71" s="4">
        <v>100</v>
      </c>
      <c r="C71" s="4">
        <v>200</v>
      </c>
    </row>
    <row r="72" spans="1:3" x14ac:dyDescent="0.25">
      <c r="A72" s="4">
        <v>71</v>
      </c>
      <c r="B72" s="4">
        <v>100</v>
      </c>
      <c r="C72" s="4">
        <v>200</v>
      </c>
    </row>
    <row r="73" spans="1:3" x14ac:dyDescent="0.25">
      <c r="A73" s="4">
        <v>72</v>
      </c>
      <c r="B73" s="4">
        <v>100</v>
      </c>
      <c r="C73" s="4">
        <v>200</v>
      </c>
    </row>
    <row r="74" spans="1:3" x14ac:dyDescent="0.25">
      <c r="A74" s="4">
        <v>73</v>
      </c>
      <c r="B74" s="4">
        <v>100</v>
      </c>
      <c r="C74" s="4">
        <v>200</v>
      </c>
    </row>
    <row r="75" spans="1:3" x14ac:dyDescent="0.25">
      <c r="A75" s="4">
        <v>74</v>
      </c>
      <c r="B75" s="4">
        <v>100</v>
      </c>
      <c r="C75" s="4">
        <v>200</v>
      </c>
    </row>
    <row r="76" spans="1:3" x14ac:dyDescent="0.25">
      <c r="A76" s="4">
        <v>75</v>
      </c>
      <c r="B76" s="4">
        <v>100</v>
      </c>
      <c r="C76" s="4">
        <v>200</v>
      </c>
    </row>
    <row r="77" spans="1:3" x14ac:dyDescent="0.25">
      <c r="A77" s="4">
        <v>76</v>
      </c>
      <c r="B77" s="4">
        <v>100</v>
      </c>
      <c r="C77" s="4">
        <v>200</v>
      </c>
    </row>
    <row r="78" spans="1:3" x14ac:dyDescent="0.25">
      <c r="A78" s="4">
        <v>77</v>
      </c>
      <c r="B78" s="4">
        <v>100</v>
      </c>
      <c r="C78" s="4">
        <v>200</v>
      </c>
    </row>
    <row r="79" spans="1:3" x14ac:dyDescent="0.25">
      <c r="A79" s="4">
        <v>78</v>
      </c>
      <c r="B79" s="4">
        <v>100</v>
      </c>
      <c r="C79" s="4">
        <v>200</v>
      </c>
    </row>
    <row r="80" spans="1:3" x14ac:dyDescent="0.25">
      <c r="A80" s="4">
        <v>79</v>
      </c>
      <c r="B80" s="4">
        <v>100</v>
      </c>
      <c r="C80" s="4">
        <v>200</v>
      </c>
    </row>
    <row r="81" spans="1:3" x14ac:dyDescent="0.25">
      <c r="A81" s="4">
        <v>80</v>
      </c>
      <c r="B81" s="4">
        <v>100</v>
      </c>
      <c r="C81" s="4">
        <v>200</v>
      </c>
    </row>
    <row r="82" spans="1:3" x14ac:dyDescent="0.25">
      <c r="A82" s="4">
        <v>81</v>
      </c>
      <c r="B82" s="4">
        <v>100</v>
      </c>
      <c r="C82" s="4">
        <v>200</v>
      </c>
    </row>
    <row r="83" spans="1:3" x14ac:dyDescent="0.25">
      <c r="A83" s="4">
        <v>82</v>
      </c>
      <c r="B83" s="4">
        <v>100</v>
      </c>
      <c r="C83" s="4">
        <v>200</v>
      </c>
    </row>
    <row r="84" spans="1:3" x14ac:dyDescent="0.25">
      <c r="A84" s="4">
        <v>83</v>
      </c>
      <c r="B84" s="4">
        <v>100</v>
      </c>
      <c r="C84" s="4">
        <v>200</v>
      </c>
    </row>
    <row r="85" spans="1:3" x14ac:dyDescent="0.25">
      <c r="A85" s="4">
        <v>84</v>
      </c>
      <c r="B85" s="4">
        <v>100</v>
      </c>
      <c r="C85" s="4">
        <v>200</v>
      </c>
    </row>
    <row r="86" spans="1:3" x14ac:dyDescent="0.25">
      <c r="A86" s="4">
        <v>85</v>
      </c>
      <c r="B86" s="4">
        <v>100</v>
      </c>
      <c r="C86" s="4">
        <v>200</v>
      </c>
    </row>
    <row r="87" spans="1:3" x14ac:dyDescent="0.25">
      <c r="A87" s="4">
        <v>86</v>
      </c>
      <c r="B87" s="4">
        <v>100</v>
      </c>
      <c r="C87" s="4">
        <v>200</v>
      </c>
    </row>
    <row r="88" spans="1:3" x14ac:dyDescent="0.25">
      <c r="A88" s="4">
        <v>87</v>
      </c>
      <c r="B88" s="4">
        <v>100</v>
      </c>
      <c r="C88" s="4">
        <v>200</v>
      </c>
    </row>
    <row r="89" spans="1:3" x14ac:dyDescent="0.25">
      <c r="A89" s="4">
        <v>88</v>
      </c>
      <c r="B89" s="4">
        <v>100</v>
      </c>
      <c r="C89" s="4">
        <v>200</v>
      </c>
    </row>
    <row r="90" spans="1:3" x14ac:dyDescent="0.25">
      <c r="A90" s="4">
        <v>89</v>
      </c>
      <c r="B90" s="4">
        <v>100</v>
      </c>
      <c r="C90" s="4">
        <v>200</v>
      </c>
    </row>
    <row r="91" spans="1:3" x14ac:dyDescent="0.25">
      <c r="A91" s="4">
        <v>90</v>
      </c>
      <c r="B91" s="4">
        <v>100</v>
      </c>
      <c r="C91" s="4">
        <v>200</v>
      </c>
    </row>
    <row r="92" spans="1:3" x14ac:dyDescent="0.25">
      <c r="A92" s="4">
        <v>91</v>
      </c>
      <c r="B92" s="4">
        <v>100</v>
      </c>
      <c r="C92" s="4">
        <v>200</v>
      </c>
    </row>
    <row r="93" spans="1:3" x14ac:dyDescent="0.25">
      <c r="A93" s="4">
        <v>92</v>
      </c>
      <c r="B93" s="4">
        <v>100</v>
      </c>
      <c r="C93" s="4">
        <v>200</v>
      </c>
    </row>
    <row r="94" spans="1:3" x14ac:dyDescent="0.25">
      <c r="A94" s="4">
        <v>93</v>
      </c>
      <c r="B94" s="4">
        <v>100</v>
      </c>
      <c r="C94" s="4">
        <v>200</v>
      </c>
    </row>
    <row r="95" spans="1:3" x14ac:dyDescent="0.25">
      <c r="A95" s="4">
        <v>94</v>
      </c>
      <c r="B95" s="4">
        <v>100</v>
      </c>
      <c r="C95" s="4">
        <v>200</v>
      </c>
    </row>
    <row r="96" spans="1:3" x14ac:dyDescent="0.25">
      <c r="A96" s="4">
        <v>95</v>
      </c>
      <c r="B96" s="4">
        <v>100</v>
      </c>
      <c r="C96" s="4">
        <v>200</v>
      </c>
    </row>
    <row r="97" spans="1:3" x14ac:dyDescent="0.25">
      <c r="A97" s="4">
        <v>96</v>
      </c>
      <c r="B97" s="4">
        <v>100</v>
      </c>
      <c r="C97" s="4">
        <v>200</v>
      </c>
    </row>
    <row r="98" spans="1:3" x14ac:dyDescent="0.25">
      <c r="A98" s="4">
        <v>97</v>
      </c>
      <c r="B98" s="4">
        <v>100</v>
      </c>
      <c r="C98" s="4">
        <v>200</v>
      </c>
    </row>
    <row r="99" spans="1:3" x14ac:dyDescent="0.25">
      <c r="A99" s="4">
        <v>98</v>
      </c>
      <c r="B99" s="4">
        <v>100</v>
      </c>
      <c r="C99" s="4">
        <v>200</v>
      </c>
    </row>
    <row r="100" spans="1:3" x14ac:dyDescent="0.25">
      <c r="A100" s="4">
        <v>99</v>
      </c>
      <c r="B100" s="4">
        <v>100</v>
      </c>
      <c r="C100" s="4">
        <v>200</v>
      </c>
    </row>
    <row r="101" spans="1:3" x14ac:dyDescent="0.25">
      <c r="A101" s="4">
        <v>100</v>
      </c>
      <c r="B101" s="4">
        <v>100</v>
      </c>
      <c r="C101" s="4">
        <v>200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24D71D-FDCD-4770-B283-7DA71E0066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2018-11-11T17:39:06Z</dcterms:created>
  <dcterms:modified xsi:type="dcterms:W3CDTF">2018-11-11T20:11:18Z</dcterms:modified>
</cp:coreProperties>
</file>